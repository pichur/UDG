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572cfbb15c4e3b/StDoc/proj/UDG/UDG/info/"/>
    </mc:Choice>
  </mc:AlternateContent>
  <xr:revisionPtr revIDLastSave="1209" documentId="8_{9132A2AE-6E0E-4162-A312-422EB2698A16}" xr6:coauthVersionLast="47" xr6:coauthVersionMax="47" xr10:uidLastSave="{8536FD28-4DFC-41B3-8A04-9A8E6C3BDF86}"/>
  <bookViews>
    <workbookView xWindow="1755" yWindow="1395" windowWidth="30690" windowHeight="12435" xr2:uid="{855C6B25-F5E2-41AB-B009-7AB19A5ACED9}"/>
  </bookViews>
  <sheets>
    <sheet name="Disk" sheetId="1" r:id="rId1"/>
    <sheet name="Sq-Hex" sheetId="2" r:id="rId2"/>
    <sheet name="Conn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" l="1"/>
  <c r="Y4" i="3"/>
  <c r="Y6" i="3"/>
  <c r="Y8" i="3"/>
  <c r="Y10" i="3"/>
  <c r="Y12" i="3"/>
  <c r="Y14" i="3"/>
  <c r="Z2" i="3"/>
  <c r="Z4" i="3"/>
  <c r="Z6" i="3"/>
  <c r="Z8" i="3"/>
  <c r="Z10" i="3"/>
  <c r="Z12" i="3"/>
  <c r="Z14" i="3"/>
  <c r="AA2" i="3"/>
  <c r="AA4" i="3"/>
  <c r="AA6" i="3"/>
  <c r="AA8" i="3"/>
  <c r="AA10" i="3"/>
  <c r="AA12" i="3"/>
  <c r="AA14" i="3"/>
  <c r="AB14" i="3"/>
  <c r="AB2" i="3"/>
  <c r="AB4" i="3"/>
  <c r="AB6" i="3"/>
  <c r="AB8" i="3"/>
  <c r="AB10" i="3"/>
  <c r="AB12" i="3"/>
  <c r="AB13" i="3"/>
  <c r="Y3" i="3"/>
  <c r="Y5" i="3"/>
  <c r="Y7" i="3"/>
  <c r="Y9" i="3"/>
  <c r="Y11" i="3"/>
  <c r="Y13" i="3"/>
  <c r="Z3" i="3"/>
  <c r="Z5" i="3"/>
  <c r="Z7" i="3"/>
  <c r="Z9" i="3"/>
  <c r="Z11" i="3"/>
  <c r="Z13" i="3"/>
  <c r="AB3" i="3"/>
  <c r="AB7" i="3"/>
  <c r="AB9" i="3"/>
  <c r="AA3" i="3"/>
  <c r="AA5" i="3"/>
  <c r="AA7" i="3"/>
  <c r="AA9" i="3"/>
  <c r="AA11" i="3"/>
  <c r="AA13" i="3"/>
  <c r="AB5" i="3"/>
  <c r="AB11" i="3"/>
  <c r="AC2" i="3"/>
  <c r="AF3" i="3"/>
  <c r="AD5" i="3"/>
  <c r="AG6" i="3"/>
  <c r="AD6" i="3"/>
  <c r="AC5" i="3"/>
  <c r="AD2" i="3"/>
  <c r="AG3" i="3"/>
  <c r="AE5" i="3"/>
  <c r="AC7" i="3"/>
  <c r="AD7" i="3"/>
  <c r="AE3" i="3"/>
  <c r="AE2" i="3"/>
  <c r="AC4" i="3"/>
  <c r="AF5" i="3"/>
  <c r="AE7" i="3"/>
  <c r="AF6" i="3"/>
  <c r="AF2" i="3"/>
  <c r="AD4" i="3"/>
  <c r="AG5" i="3"/>
  <c r="AF4" i="3"/>
  <c r="AG2" i="3"/>
  <c r="AE4" i="3"/>
  <c r="AC6" i="3"/>
  <c r="AF7" i="3"/>
  <c r="AC3" i="3"/>
  <c r="AG7" i="3"/>
  <c r="AD3" i="3"/>
  <c r="AG4" i="3"/>
  <c r="AE6" i="3"/>
  <c r="AD8" i="3"/>
  <c r="AD10" i="3"/>
  <c r="AD12" i="3"/>
  <c r="AD14" i="3"/>
  <c r="AE8" i="3"/>
  <c r="AE10" i="3"/>
  <c r="AE12" i="3"/>
  <c r="AE14" i="3"/>
  <c r="AF8" i="3"/>
  <c r="AF10" i="3"/>
  <c r="AF12" i="3"/>
  <c r="AF14" i="3"/>
  <c r="AG8" i="3"/>
  <c r="AG10" i="3"/>
  <c r="AG12" i="3"/>
  <c r="AG14" i="3"/>
  <c r="AD9" i="3"/>
  <c r="AD11" i="3"/>
  <c r="AD13" i="3"/>
  <c r="AG13" i="3"/>
  <c r="AE9" i="3"/>
  <c r="AE11" i="3"/>
  <c r="AE13" i="3"/>
  <c r="AG11" i="3"/>
  <c r="AF9" i="3"/>
  <c r="AF11" i="3"/>
  <c r="AF13" i="3"/>
  <c r="AG9" i="3"/>
  <c r="AC10" i="3"/>
  <c r="AC12" i="3"/>
  <c r="AC11" i="3"/>
  <c r="AC13" i="3"/>
  <c r="AC14" i="3"/>
  <c r="AC9" i="3"/>
  <c r="AC8" i="3"/>
  <c r="AJ2" i="3" a="1"/>
  <c r="AJ3" i="3" a="1"/>
  <c r="AJ4" i="3" a="1"/>
  <c r="AJ5" i="3" a="1"/>
  <c r="AJ6" i="3" a="1"/>
  <c r="AJ7" i="3" a="1"/>
  <c r="AJ8" i="3" a="1"/>
  <c r="AJ14" i="3" a="1"/>
  <c r="AK3" i="3" a="1"/>
  <c r="AK4" i="3" a="1"/>
  <c r="AK6" i="3" a="1"/>
  <c r="AK8" i="3" a="1"/>
  <c r="AK9" i="3" a="1"/>
  <c r="AK11" i="3" a="1"/>
  <c r="AK13" i="3" a="1"/>
  <c r="AL14" i="3" a="1"/>
  <c r="AM13" i="3" a="1"/>
  <c r="AJ13" i="3" a="1"/>
  <c r="AK2" i="3" a="1"/>
  <c r="AK5" i="3" a="1"/>
  <c r="AK7" i="3" a="1"/>
  <c r="AK10" i="3" a="1"/>
  <c r="AK12" i="3" a="1"/>
  <c r="AK14" i="3" a="1"/>
  <c r="AJ10" i="3" a="1"/>
  <c r="AL3" i="3" a="1"/>
  <c r="AL4" i="3" a="1"/>
  <c r="AL7" i="3" a="1"/>
  <c r="AL9" i="3" a="1"/>
  <c r="AL11" i="3" a="1"/>
  <c r="AL12" i="3" a="1"/>
  <c r="AJ9" i="3" a="1"/>
  <c r="AL2" i="3" a="1"/>
  <c r="AL5" i="3" a="1"/>
  <c r="AL6" i="3" a="1"/>
  <c r="AL8" i="3" a="1"/>
  <c r="AL10" i="3" a="1"/>
  <c r="AL13" i="3" a="1"/>
  <c r="AJ12" i="3" a="1"/>
  <c r="AM2" i="3" a="1"/>
  <c r="AM4" i="3" a="1"/>
  <c r="AM5" i="3" a="1"/>
  <c r="AM7" i="3" a="1"/>
  <c r="AM9" i="3" a="1"/>
  <c r="AM11" i="3" a="1"/>
  <c r="AM14" i="3" a="1"/>
  <c r="AM3" i="3" a="1"/>
  <c r="AM6" i="3" a="1"/>
  <c r="AM8" i="3" a="1"/>
  <c r="AM10" i="3" a="1"/>
  <c r="AM12" i="3" a="1"/>
  <c r="AJ11" i="3" a="1"/>
  <c r="AN2" i="3" a="1"/>
  <c r="AR2" i="3" a="1"/>
  <c r="AQ3" i="3" a="1"/>
  <c r="AP4" i="3" a="1"/>
  <c r="AO5" i="3" a="1"/>
  <c r="AN6" i="3" a="1"/>
  <c r="AR6" i="3" a="1"/>
  <c r="AN3" i="3" a="1"/>
  <c r="AR3" i="3" a="1"/>
  <c r="AO6" i="3" a="1"/>
  <c r="AR7" i="3" a="1"/>
  <c r="AO4" i="3" a="1"/>
  <c r="AP7" i="3" a="1"/>
  <c r="AO2" i="3" a="1"/>
  <c r="AQ4" i="3" a="1"/>
  <c r="AP5" i="3" a="1"/>
  <c r="AN7" i="3" a="1"/>
  <c r="AP3" i="3" a="1"/>
  <c r="AQ6" i="3" a="1"/>
  <c r="AO3" i="3" a="1"/>
  <c r="AN4" i="3" a="1"/>
  <c r="AR4" i="3" a="1"/>
  <c r="AQ5" i="3" a="1"/>
  <c r="AO7" i="3" a="1"/>
  <c r="AN5" i="3" a="1"/>
  <c r="AP2" i="3" a="1"/>
  <c r="AP6" i="3" a="1"/>
  <c r="AR5" i="3" a="1"/>
  <c r="AQ7" i="3" a="1"/>
  <c r="AQ2" i="3" a="1"/>
  <c r="AO8" i="3" a="1"/>
  <c r="AO9" i="3" a="1"/>
  <c r="AO10" i="3" a="1"/>
  <c r="AO14" i="3" a="1"/>
  <c r="AP9" i="3" a="1"/>
  <c r="AP10" i="3" a="1"/>
  <c r="AP12" i="3" a="1"/>
  <c r="AP14" i="3" a="1"/>
  <c r="AO11" i="3" a="1"/>
  <c r="AP8" i="3" a="1"/>
  <c r="AP11" i="3" a="1"/>
  <c r="AP13" i="3" a="1"/>
  <c r="AR12" i="3" a="1"/>
  <c r="AQ8" i="3" a="1"/>
  <c r="AQ10" i="3" a="1"/>
  <c r="AQ11" i="3" a="1"/>
  <c r="AQ12" i="3" a="1"/>
  <c r="AQ14" i="3" a="1"/>
  <c r="AO12" i="3" a="1"/>
  <c r="AQ9" i="3" a="1"/>
  <c r="AQ13" i="3" a="1"/>
  <c r="AR14" i="3" a="1"/>
  <c r="AR8" i="3" a="1"/>
  <c r="AR9" i="3" a="1"/>
  <c r="AR10" i="3" a="1"/>
  <c r="AR11" i="3" a="1"/>
  <c r="AR13" i="3" a="1"/>
  <c r="AO13" i="3" a="1"/>
  <c r="AN9" i="3" a="1"/>
  <c r="AN10" i="3" a="1"/>
  <c r="AN14" i="3" a="1"/>
  <c r="AN13" i="3" a="1"/>
  <c r="AN11" i="3" a="1"/>
  <c r="AN12" i="3" a="1"/>
  <c r="AN8" i="3" a="1"/>
  <c r="AJ11" i="3" l="1"/>
  <c r="AM12" i="3"/>
  <c r="AM10" i="3"/>
  <c r="AM8" i="3"/>
  <c r="AM6" i="3"/>
  <c r="AM3" i="3"/>
  <c r="AM14" i="3"/>
  <c r="AM11" i="3"/>
  <c r="AM9" i="3"/>
  <c r="AM7" i="3"/>
  <c r="AM5" i="3"/>
  <c r="AM4" i="3"/>
  <c r="AM2" i="3"/>
  <c r="AJ12" i="3"/>
  <c r="AL13" i="3"/>
  <c r="AL10" i="3"/>
  <c r="AL8" i="3"/>
  <c r="AL6" i="3"/>
  <c r="AL5" i="3"/>
  <c r="AL2" i="3"/>
  <c r="AJ9" i="3"/>
  <c r="AL12" i="3"/>
  <c r="AL11" i="3"/>
  <c r="AL9" i="3"/>
  <c r="AL7" i="3"/>
  <c r="AL4" i="3"/>
  <c r="AL3" i="3"/>
  <c r="AJ10" i="3"/>
  <c r="AK14" i="3"/>
  <c r="AK12" i="3"/>
  <c r="AK10" i="3"/>
  <c r="AK7" i="3"/>
  <c r="AK5" i="3"/>
  <c r="AK2" i="3"/>
  <c r="AJ13" i="3"/>
  <c r="AM13" i="3"/>
  <c r="AL14" i="3"/>
  <c r="AK13" i="3"/>
  <c r="AK11" i="3"/>
  <c r="AK9" i="3"/>
  <c r="AK8" i="3"/>
  <c r="AK6" i="3"/>
  <c r="AK4" i="3"/>
  <c r="AK3" i="3"/>
  <c r="AJ14" i="3"/>
  <c r="AJ8" i="3"/>
  <c r="AJ7" i="3"/>
  <c r="AJ6" i="3"/>
  <c r="AJ5" i="3"/>
  <c r="AJ4" i="3"/>
  <c r="AJ3" i="3"/>
  <c r="AJ2" i="3"/>
  <c r="AQ2" i="3"/>
  <c r="AQ7" i="3"/>
  <c r="AR5" i="3"/>
  <c r="AP6" i="3"/>
  <c r="AP2" i="3"/>
  <c r="AN5" i="3"/>
  <c r="AO7" i="3"/>
  <c r="AQ5" i="3"/>
  <c r="AR4" i="3"/>
  <c r="AN4" i="3"/>
  <c r="AO3" i="3"/>
  <c r="AQ6" i="3"/>
  <c r="AP3" i="3"/>
  <c r="AN7" i="3"/>
  <c r="AP5" i="3"/>
  <c r="AQ4" i="3"/>
  <c r="AO2" i="3"/>
  <c r="AP7" i="3"/>
  <c r="AO4" i="3"/>
  <c r="AR7" i="3"/>
  <c r="AO6" i="3"/>
  <c r="AR3" i="3"/>
  <c r="AN3" i="3"/>
  <c r="AR6" i="3"/>
  <c r="AN6" i="3"/>
  <c r="AO5" i="3"/>
  <c r="AP4" i="3"/>
  <c r="AQ3" i="3"/>
  <c r="AR2" i="3"/>
  <c r="AN2" i="3"/>
  <c r="AO13" i="3"/>
  <c r="AR13" i="3"/>
  <c r="AR11" i="3"/>
  <c r="AR10" i="3"/>
  <c r="AR9" i="3"/>
  <c r="AR8" i="3"/>
  <c r="AR14" i="3"/>
  <c r="AQ13" i="3"/>
  <c r="AQ9" i="3"/>
  <c r="AO12" i="3"/>
  <c r="AQ14" i="3"/>
  <c r="AQ12" i="3"/>
  <c r="AQ11" i="3"/>
  <c r="AQ10" i="3"/>
  <c r="AQ8" i="3"/>
  <c r="AR12" i="3"/>
  <c r="AP13" i="3"/>
  <c r="AP11" i="3"/>
  <c r="AP8" i="3"/>
  <c r="AO11" i="3"/>
  <c r="AP14" i="3"/>
  <c r="AP12" i="3"/>
  <c r="AP10" i="3"/>
  <c r="AP9" i="3"/>
  <c r="AO14" i="3"/>
  <c r="AO10" i="3"/>
  <c r="AO9" i="3"/>
  <c r="AO8" i="3"/>
  <c r="AN12" i="3"/>
  <c r="AN11" i="3"/>
  <c r="AN13" i="3"/>
  <c r="AN14" i="3"/>
  <c r="AN10" i="3"/>
  <c r="AN9" i="3"/>
  <c r="AN8" i="3"/>
  <c r="B259" i="2"/>
  <c r="C259" i="2"/>
  <c r="D259" i="2" s="1"/>
  <c r="F259" i="2" s="1"/>
  <c r="H259" i="2" s="1"/>
  <c r="E259" i="2"/>
  <c r="G259" i="2"/>
  <c r="I259" i="2"/>
  <c r="J259" i="2" s="1"/>
  <c r="K259" i="2"/>
  <c r="B255" i="2"/>
  <c r="C255" i="2" s="1"/>
  <c r="D255" i="2" s="1"/>
  <c r="F255" i="2" s="1"/>
  <c r="H255" i="2" s="1"/>
  <c r="E255" i="2"/>
  <c r="G255" i="2"/>
  <c r="I255" i="2"/>
  <c r="J255" i="2" s="1"/>
  <c r="K255" i="2"/>
  <c r="B256" i="2"/>
  <c r="C256" i="2"/>
  <c r="D256" i="2"/>
  <c r="F256" i="2" s="1"/>
  <c r="E256" i="2"/>
  <c r="G256" i="2"/>
  <c r="I256" i="2"/>
  <c r="J256" i="2"/>
  <c r="K256" i="2"/>
  <c r="L256" i="2"/>
  <c r="B257" i="2"/>
  <c r="C257" i="2" s="1"/>
  <c r="D257" i="2" s="1"/>
  <c r="F257" i="2" s="1"/>
  <c r="H257" i="2" s="1"/>
  <c r="E257" i="2"/>
  <c r="G257" i="2"/>
  <c r="I257" i="2"/>
  <c r="J257" i="2"/>
  <c r="L257" i="2" s="1"/>
  <c r="N257" i="2" s="1"/>
  <c r="K257" i="2"/>
  <c r="B258" i="2"/>
  <c r="C258" i="2" s="1"/>
  <c r="D258" i="2" s="1"/>
  <c r="F258" i="2" s="1"/>
  <c r="H258" i="2" s="1"/>
  <c r="E258" i="2"/>
  <c r="G258" i="2"/>
  <c r="I258" i="2"/>
  <c r="J258" i="2"/>
  <c r="L258" i="2" s="1"/>
  <c r="N258" i="2" s="1"/>
  <c r="K258" i="2"/>
  <c r="B250" i="2"/>
  <c r="C250" i="2"/>
  <c r="D250" i="2" s="1"/>
  <c r="F250" i="2" s="1"/>
  <c r="H250" i="2" s="1"/>
  <c r="E250" i="2"/>
  <c r="G250" i="2"/>
  <c r="I250" i="2"/>
  <c r="J250" i="2" s="1"/>
  <c r="K250" i="2"/>
  <c r="B251" i="2"/>
  <c r="C251" i="2" s="1"/>
  <c r="D251" i="2" s="1"/>
  <c r="F251" i="2" s="1"/>
  <c r="H251" i="2" s="1"/>
  <c r="E251" i="2"/>
  <c r="G251" i="2"/>
  <c r="I251" i="2"/>
  <c r="J251" i="2"/>
  <c r="M251" i="2" s="1"/>
  <c r="K251" i="2"/>
  <c r="L251" i="2"/>
  <c r="B252" i="2"/>
  <c r="C252" i="2"/>
  <c r="D252" i="2" s="1"/>
  <c r="F252" i="2" s="1"/>
  <c r="H252" i="2" s="1"/>
  <c r="E252" i="2"/>
  <c r="G252" i="2"/>
  <c r="I252" i="2"/>
  <c r="J252" i="2" s="1"/>
  <c r="K252" i="2"/>
  <c r="B253" i="2"/>
  <c r="C253" i="2" s="1"/>
  <c r="D253" i="2" s="1"/>
  <c r="F253" i="2" s="1"/>
  <c r="H253" i="2" s="1"/>
  <c r="E253" i="2"/>
  <c r="G253" i="2"/>
  <c r="I253" i="2"/>
  <c r="J253" i="2"/>
  <c r="L253" i="2" s="1"/>
  <c r="N253" i="2" s="1"/>
  <c r="K253" i="2"/>
  <c r="B254" i="2"/>
  <c r="C254" i="2"/>
  <c r="D254" i="2" s="1"/>
  <c r="F254" i="2" s="1"/>
  <c r="H254" i="2" s="1"/>
  <c r="E254" i="2"/>
  <c r="G254" i="2"/>
  <c r="I254" i="2"/>
  <c r="J254" i="2" s="1"/>
  <c r="K254" i="2"/>
  <c r="B236" i="2"/>
  <c r="C236" i="2" s="1"/>
  <c r="D236" i="2" s="1"/>
  <c r="F236" i="2" s="1"/>
  <c r="H236" i="2" s="1"/>
  <c r="E236" i="2"/>
  <c r="G236" i="2"/>
  <c r="I236" i="2"/>
  <c r="J236" i="2" s="1"/>
  <c r="K236" i="2"/>
  <c r="B237" i="2"/>
  <c r="C237" i="2" s="1"/>
  <c r="D237" i="2" s="1"/>
  <c r="F237" i="2" s="1"/>
  <c r="H237" i="2" s="1"/>
  <c r="E237" i="2"/>
  <c r="G237" i="2"/>
  <c r="I237" i="2"/>
  <c r="J237" i="2"/>
  <c r="M237" i="2" s="1"/>
  <c r="K237" i="2"/>
  <c r="L237" i="2"/>
  <c r="N237" i="2" s="1"/>
  <c r="B238" i="2"/>
  <c r="C238" i="2" s="1"/>
  <c r="D238" i="2" s="1"/>
  <c r="F238" i="2" s="1"/>
  <c r="H238" i="2" s="1"/>
  <c r="E238" i="2"/>
  <c r="G238" i="2"/>
  <c r="I238" i="2"/>
  <c r="J238" i="2"/>
  <c r="L238" i="2" s="1"/>
  <c r="N238" i="2" s="1"/>
  <c r="K238" i="2"/>
  <c r="B239" i="2"/>
  <c r="C239" i="2" s="1"/>
  <c r="D239" i="2" s="1"/>
  <c r="F239" i="2" s="1"/>
  <c r="H239" i="2" s="1"/>
  <c r="E239" i="2"/>
  <c r="G239" i="2"/>
  <c r="I239" i="2"/>
  <c r="J239" i="2"/>
  <c r="L239" i="2" s="1"/>
  <c r="N239" i="2" s="1"/>
  <c r="K239" i="2"/>
  <c r="B240" i="2"/>
  <c r="C240" i="2"/>
  <c r="D240" i="2" s="1"/>
  <c r="F240" i="2" s="1"/>
  <c r="E240" i="2"/>
  <c r="G240" i="2"/>
  <c r="I240" i="2"/>
  <c r="J240" i="2"/>
  <c r="L240" i="2" s="1"/>
  <c r="K240" i="2"/>
  <c r="B241" i="2"/>
  <c r="C241" i="2" s="1"/>
  <c r="D241" i="2" s="1"/>
  <c r="F241" i="2" s="1"/>
  <c r="H241" i="2" s="1"/>
  <c r="E241" i="2"/>
  <c r="G241" i="2"/>
  <c r="I241" i="2"/>
  <c r="J241" i="2"/>
  <c r="L241" i="2" s="1"/>
  <c r="K241" i="2"/>
  <c r="B242" i="2"/>
  <c r="C242" i="2"/>
  <c r="D242" i="2" s="1"/>
  <c r="F242" i="2" s="1"/>
  <c r="H242" i="2" s="1"/>
  <c r="E242" i="2"/>
  <c r="G242" i="2"/>
  <c r="I242" i="2"/>
  <c r="J242" i="2" s="1"/>
  <c r="K242" i="2"/>
  <c r="B243" i="2"/>
  <c r="C243" i="2"/>
  <c r="D243" i="2"/>
  <c r="E243" i="2"/>
  <c r="F243" i="2"/>
  <c r="H243" i="2" s="1"/>
  <c r="G243" i="2"/>
  <c r="I243" i="2"/>
  <c r="J243" i="2" s="1"/>
  <c r="K243" i="2"/>
  <c r="B244" i="2"/>
  <c r="C244" i="2"/>
  <c r="D244" i="2" s="1"/>
  <c r="F244" i="2" s="1"/>
  <c r="H244" i="2" s="1"/>
  <c r="E244" i="2"/>
  <c r="G244" i="2"/>
  <c r="I244" i="2"/>
  <c r="J244" i="2" s="1"/>
  <c r="K244" i="2"/>
  <c r="B245" i="2"/>
  <c r="C245" i="2" s="1"/>
  <c r="D245" i="2" s="1"/>
  <c r="F245" i="2" s="1"/>
  <c r="H245" i="2" s="1"/>
  <c r="E245" i="2"/>
  <c r="G245" i="2"/>
  <c r="I245" i="2"/>
  <c r="J245" i="2"/>
  <c r="K245" i="2"/>
  <c r="L245" i="2"/>
  <c r="N245" i="2" s="1"/>
  <c r="B246" i="2"/>
  <c r="C246" i="2" s="1"/>
  <c r="D246" i="2" s="1"/>
  <c r="F246" i="2" s="1"/>
  <c r="H246" i="2" s="1"/>
  <c r="E246" i="2"/>
  <c r="G246" i="2"/>
  <c r="I246" i="2"/>
  <c r="J246" i="2" s="1"/>
  <c r="K246" i="2"/>
  <c r="B247" i="2"/>
  <c r="C247" i="2" s="1"/>
  <c r="D247" i="2" s="1"/>
  <c r="F247" i="2" s="1"/>
  <c r="H247" i="2" s="1"/>
  <c r="E247" i="2"/>
  <c r="G247" i="2"/>
  <c r="I247" i="2"/>
  <c r="J247" i="2"/>
  <c r="L247" i="2" s="1"/>
  <c r="N247" i="2" s="1"/>
  <c r="K247" i="2"/>
  <c r="B248" i="2"/>
  <c r="C248" i="2"/>
  <c r="D248" i="2" s="1"/>
  <c r="F248" i="2" s="1"/>
  <c r="E248" i="2"/>
  <c r="G248" i="2"/>
  <c r="I248" i="2"/>
  <c r="J248" i="2"/>
  <c r="L248" i="2" s="1"/>
  <c r="K248" i="2"/>
  <c r="B249" i="2"/>
  <c r="C249" i="2" s="1"/>
  <c r="D249" i="2" s="1"/>
  <c r="F249" i="2" s="1"/>
  <c r="H249" i="2" s="1"/>
  <c r="E249" i="2"/>
  <c r="G249" i="2"/>
  <c r="I249" i="2"/>
  <c r="J249" i="2"/>
  <c r="L249" i="2" s="1"/>
  <c r="N249" i="2" s="1"/>
  <c r="K249" i="2"/>
  <c r="B222" i="2"/>
  <c r="C222" i="2" s="1"/>
  <c r="D222" i="2" s="1"/>
  <c r="F222" i="2" s="1"/>
  <c r="H222" i="2" s="1"/>
  <c r="E222" i="2"/>
  <c r="G222" i="2"/>
  <c r="I222" i="2"/>
  <c r="J222" i="2" s="1"/>
  <c r="K222" i="2"/>
  <c r="B223" i="2"/>
  <c r="C223" i="2"/>
  <c r="D223" i="2"/>
  <c r="F223" i="2" s="1"/>
  <c r="H223" i="2" s="1"/>
  <c r="E223" i="2"/>
  <c r="G223" i="2"/>
  <c r="I223" i="2"/>
  <c r="J223" i="2" s="1"/>
  <c r="K223" i="2"/>
  <c r="B224" i="2"/>
  <c r="C224" i="2"/>
  <c r="D224" i="2"/>
  <c r="E224" i="2"/>
  <c r="F224" i="2"/>
  <c r="H224" i="2" s="1"/>
  <c r="N224" i="2" s="1"/>
  <c r="G224" i="2"/>
  <c r="I224" i="2"/>
  <c r="J224" i="2"/>
  <c r="K224" i="2"/>
  <c r="L224" i="2"/>
  <c r="B225" i="2"/>
  <c r="C225" i="2" s="1"/>
  <c r="D225" i="2" s="1"/>
  <c r="F225" i="2" s="1"/>
  <c r="H225" i="2" s="1"/>
  <c r="E225" i="2"/>
  <c r="G225" i="2"/>
  <c r="I225" i="2"/>
  <c r="J225" i="2"/>
  <c r="L225" i="2" s="1"/>
  <c r="K225" i="2"/>
  <c r="B226" i="2"/>
  <c r="C226" i="2" s="1"/>
  <c r="D226" i="2" s="1"/>
  <c r="F226" i="2" s="1"/>
  <c r="E226" i="2"/>
  <c r="G226" i="2"/>
  <c r="I226" i="2"/>
  <c r="J226" i="2"/>
  <c r="K226" i="2"/>
  <c r="L226" i="2"/>
  <c r="B227" i="2"/>
  <c r="C227" i="2"/>
  <c r="D227" i="2"/>
  <c r="E227" i="2"/>
  <c r="F227" i="2" s="1"/>
  <c r="G227" i="2"/>
  <c r="I227" i="2"/>
  <c r="J227" i="2"/>
  <c r="K227" i="2"/>
  <c r="L227" i="2"/>
  <c r="B228" i="2"/>
  <c r="C228" i="2"/>
  <c r="D228" i="2" s="1"/>
  <c r="F228" i="2" s="1"/>
  <c r="H228" i="2" s="1"/>
  <c r="E228" i="2"/>
  <c r="G228" i="2"/>
  <c r="I228" i="2"/>
  <c r="J228" i="2"/>
  <c r="L228" i="2" s="1"/>
  <c r="K228" i="2"/>
  <c r="B229" i="2"/>
  <c r="C229" i="2"/>
  <c r="D229" i="2" s="1"/>
  <c r="F229" i="2" s="1"/>
  <c r="E229" i="2"/>
  <c r="G229" i="2"/>
  <c r="I229" i="2"/>
  <c r="J229" i="2"/>
  <c r="K229" i="2"/>
  <c r="L229" i="2" s="1"/>
  <c r="B230" i="2"/>
  <c r="C230" i="2" s="1"/>
  <c r="D230" i="2" s="1"/>
  <c r="F230" i="2" s="1"/>
  <c r="H230" i="2" s="1"/>
  <c r="E230" i="2"/>
  <c r="G230" i="2"/>
  <c r="I230" i="2"/>
  <c r="J230" i="2" s="1"/>
  <c r="K230" i="2"/>
  <c r="B231" i="2"/>
  <c r="C231" i="2"/>
  <c r="D231" i="2"/>
  <c r="F231" i="2" s="1"/>
  <c r="H231" i="2" s="1"/>
  <c r="E231" i="2"/>
  <c r="G231" i="2"/>
  <c r="I231" i="2"/>
  <c r="J231" i="2" s="1"/>
  <c r="K231" i="2"/>
  <c r="B232" i="2"/>
  <c r="C232" i="2"/>
  <c r="D232" i="2"/>
  <c r="E232" i="2"/>
  <c r="F232" i="2"/>
  <c r="H232" i="2" s="1"/>
  <c r="N232" i="2" s="1"/>
  <c r="G232" i="2"/>
  <c r="I232" i="2"/>
  <c r="J232" i="2"/>
  <c r="K232" i="2"/>
  <c r="L232" i="2"/>
  <c r="B233" i="2"/>
  <c r="C233" i="2" s="1"/>
  <c r="D233" i="2" s="1"/>
  <c r="F233" i="2" s="1"/>
  <c r="H233" i="2" s="1"/>
  <c r="E233" i="2"/>
  <c r="G233" i="2"/>
  <c r="I233" i="2"/>
  <c r="J233" i="2"/>
  <c r="L233" i="2" s="1"/>
  <c r="N233" i="2" s="1"/>
  <c r="K233" i="2"/>
  <c r="B234" i="2"/>
  <c r="C234" i="2" s="1"/>
  <c r="D234" i="2" s="1"/>
  <c r="F234" i="2" s="1"/>
  <c r="E234" i="2"/>
  <c r="G234" i="2"/>
  <c r="I234" i="2"/>
  <c r="J234" i="2"/>
  <c r="K234" i="2"/>
  <c r="L234" i="2"/>
  <c r="B235" i="2"/>
  <c r="C235" i="2"/>
  <c r="D235" i="2"/>
  <c r="E235" i="2"/>
  <c r="F235" i="2" s="1"/>
  <c r="H235" i="2" s="1"/>
  <c r="G235" i="2"/>
  <c r="I235" i="2"/>
  <c r="J235" i="2" s="1"/>
  <c r="K235" i="2"/>
  <c r="B210" i="2"/>
  <c r="C210" i="2"/>
  <c r="D210" i="2" s="1"/>
  <c r="F210" i="2" s="1"/>
  <c r="H210" i="2" s="1"/>
  <c r="E210" i="2"/>
  <c r="G210" i="2"/>
  <c r="I210" i="2"/>
  <c r="J210" i="2" s="1"/>
  <c r="K210" i="2"/>
  <c r="B211" i="2"/>
  <c r="C211" i="2" s="1"/>
  <c r="D211" i="2" s="1"/>
  <c r="F211" i="2" s="1"/>
  <c r="H211" i="2" s="1"/>
  <c r="E211" i="2"/>
  <c r="G211" i="2"/>
  <c r="I211" i="2"/>
  <c r="J211" i="2" s="1"/>
  <c r="K211" i="2"/>
  <c r="B212" i="2"/>
  <c r="C212" i="2"/>
  <c r="D212" i="2" s="1"/>
  <c r="F212" i="2" s="1"/>
  <c r="H212" i="2" s="1"/>
  <c r="E212" i="2"/>
  <c r="G212" i="2"/>
  <c r="I212" i="2"/>
  <c r="J212" i="2" s="1"/>
  <c r="K212" i="2"/>
  <c r="B213" i="2"/>
  <c r="C213" i="2" s="1"/>
  <c r="D213" i="2" s="1"/>
  <c r="F213" i="2" s="1"/>
  <c r="H213" i="2" s="1"/>
  <c r="E213" i="2"/>
  <c r="G213" i="2"/>
  <c r="I213" i="2"/>
  <c r="J213" i="2"/>
  <c r="L213" i="2" s="1"/>
  <c r="K213" i="2"/>
  <c r="B214" i="2"/>
  <c r="C214" i="2" s="1"/>
  <c r="D214" i="2" s="1"/>
  <c r="F214" i="2" s="1"/>
  <c r="H214" i="2" s="1"/>
  <c r="E214" i="2"/>
  <c r="G214" i="2"/>
  <c r="I214" i="2"/>
  <c r="J214" i="2" s="1"/>
  <c r="K214" i="2"/>
  <c r="B215" i="2"/>
  <c r="C215" i="2" s="1"/>
  <c r="D215" i="2" s="1"/>
  <c r="F215" i="2" s="1"/>
  <c r="H215" i="2" s="1"/>
  <c r="E215" i="2"/>
  <c r="G215" i="2"/>
  <c r="I215" i="2"/>
  <c r="J215" i="2"/>
  <c r="L215" i="2" s="1"/>
  <c r="K215" i="2"/>
  <c r="B216" i="2"/>
  <c r="C216" i="2"/>
  <c r="D216" i="2" s="1"/>
  <c r="F216" i="2" s="1"/>
  <c r="H216" i="2" s="1"/>
  <c r="E216" i="2"/>
  <c r="G216" i="2"/>
  <c r="I216" i="2"/>
  <c r="J216" i="2" s="1"/>
  <c r="K216" i="2"/>
  <c r="B217" i="2"/>
  <c r="C217" i="2" s="1"/>
  <c r="D217" i="2" s="1"/>
  <c r="F217" i="2" s="1"/>
  <c r="H217" i="2" s="1"/>
  <c r="E217" i="2"/>
  <c r="G217" i="2"/>
  <c r="I217" i="2"/>
  <c r="J217" i="2"/>
  <c r="L217" i="2" s="1"/>
  <c r="N217" i="2" s="1"/>
  <c r="K217" i="2"/>
  <c r="B218" i="2"/>
  <c r="C218" i="2"/>
  <c r="D218" i="2" s="1"/>
  <c r="F218" i="2" s="1"/>
  <c r="H218" i="2" s="1"/>
  <c r="E218" i="2"/>
  <c r="G218" i="2"/>
  <c r="I218" i="2"/>
  <c r="J218" i="2" s="1"/>
  <c r="K218" i="2"/>
  <c r="B219" i="2"/>
  <c r="C219" i="2" s="1"/>
  <c r="D219" i="2" s="1"/>
  <c r="F219" i="2" s="1"/>
  <c r="H219" i="2" s="1"/>
  <c r="E219" i="2"/>
  <c r="G219" i="2"/>
  <c r="I219" i="2"/>
  <c r="J219" i="2" s="1"/>
  <c r="K219" i="2"/>
  <c r="B220" i="2"/>
  <c r="C220" i="2"/>
  <c r="D220" i="2" s="1"/>
  <c r="F220" i="2" s="1"/>
  <c r="H220" i="2" s="1"/>
  <c r="E220" i="2"/>
  <c r="G220" i="2"/>
  <c r="I220" i="2"/>
  <c r="J220" i="2" s="1"/>
  <c r="K220" i="2"/>
  <c r="B221" i="2"/>
  <c r="C221" i="2" s="1"/>
  <c r="D221" i="2" s="1"/>
  <c r="F221" i="2" s="1"/>
  <c r="H221" i="2" s="1"/>
  <c r="E221" i="2"/>
  <c r="G221" i="2"/>
  <c r="I221" i="2"/>
  <c r="J221" i="2"/>
  <c r="L221" i="2" s="1"/>
  <c r="K221" i="2"/>
  <c r="B196" i="2"/>
  <c r="C196" i="2" s="1"/>
  <c r="D196" i="2" s="1"/>
  <c r="F196" i="2" s="1"/>
  <c r="H196" i="2" s="1"/>
  <c r="E196" i="2"/>
  <c r="G196" i="2"/>
  <c r="I196" i="2"/>
  <c r="J196" i="2" s="1"/>
  <c r="K196" i="2"/>
  <c r="B197" i="2"/>
  <c r="C197" i="2" s="1"/>
  <c r="D197" i="2" s="1"/>
  <c r="F197" i="2" s="1"/>
  <c r="H197" i="2" s="1"/>
  <c r="E197" i="2"/>
  <c r="G197" i="2"/>
  <c r="I197" i="2"/>
  <c r="J197" i="2"/>
  <c r="M197" i="2" s="1"/>
  <c r="K197" i="2"/>
  <c r="L197" i="2"/>
  <c r="B198" i="2"/>
  <c r="C198" i="2" s="1"/>
  <c r="D198" i="2" s="1"/>
  <c r="F198" i="2" s="1"/>
  <c r="E198" i="2"/>
  <c r="G198" i="2"/>
  <c r="I198" i="2"/>
  <c r="J198" i="2"/>
  <c r="K198" i="2"/>
  <c r="L198" i="2"/>
  <c r="B199" i="2"/>
  <c r="C199" i="2" s="1"/>
  <c r="D199" i="2" s="1"/>
  <c r="F199" i="2" s="1"/>
  <c r="H199" i="2" s="1"/>
  <c r="E199" i="2"/>
  <c r="G199" i="2"/>
  <c r="I199" i="2"/>
  <c r="J199" i="2"/>
  <c r="L199" i="2" s="1"/>
  <c r="N199" i="2" s="1"/>
  <c r="K199" i="2"/>
  <c r="B200" i="2"/>
  <c r="C200" i="2"/>
  <c r="D200" i="2" s="1"/>
  <c r="F200" i="2" s="1"/>
  <c r="E200" i="2"/>
  <c r="G200" i="2"/>
  <c r="I200" i="2"/>
  <c r="J200" i="2"/>
  <c r="L200" i="2" s="1"/>
  <c r="K200" i="2"/>
  <c r="B201" i="2"/>
  <c r="C201" i="2"/>
  <c r="D201" i="2" s="1"/>
  <c r="F201" i="2" s="1"/>
  <c r="H201" i="2" s="1"/>
  <c r="E201" i="2"/>
  <c r="G201" i="2"/>
  <c r="I201" i="2"/>
  <c r="J201" i="2" s="1"/>
  <c r="K201" i="2"/>
  <c r="B202" i="2"/>
  <c r="C202" i="2"/>
  <c r="D202" i="2" s="1"/>
  <c r="F202" i="2" s="1"/>
  <c r="H202" i="2" s="1"/>
  <c r="E202" i="2"/>
  <c r="G202" i="2"/>
  <c r="I202" i="2"/>
  <c r="J202" i="2" s="1"/>
  <c r="K202" i="2"/>
  <c r="B203" i="2"/>
  <c r="C203" i="2"/>
  <c r="D203" i="2"/>
  <c r="E203" i="2"/>
  <c r="F203" i="2"/>
  <c r="H203" i="2" s="1"/>
  <c r="G203" i="2"/>
  <c r="I203" i="2"/>
  <c r="J203" i="2" s="1"/>
  <c r="K203" i="2"/>
  <c r="B204" i="2"/>
  <c r="C204" i="2" s="1"/>
  <c r="D204" i="2" s="1"/>
  <c r="F204" i="2" s="1"/>
  <c r="H204" i="2" s="1"/>
  <c r="E204" i="2"/>
  <c r="G204" i="2"/>
  <c r="I204" i="2"/>
  <c r="J204" i="2" s="1"/>
  <c r="K204" i="2"/>
  <c r="B205" i="2"/>
  <c r="C205" i="2" s="1"/>
  <c r="D205" i="2" s="1"/>
  <c r="F205" i="2" s="1"/>
  <c r="H205" i="2" s="1"/>
  <c r="E205" i="2"/>
  <c r="G205" i="2"/>
  <c r="I205" i="2"/>
  <c r="J205" i="2"/>
  <c r="K205" i="2"/>
  <c r="L205" i="2"/>
  <c r="N205" i="2" s="1"/>
  <c r="B206" i="2"/>
  <c r="C206" i="2" s="1"/>
  <c r="D206" i="2" s="1"/>
  <c r="F206" i="2" s="1"/>
  <c r="E206" i="2"/>
  <c r="G206" i="2"/>
  <c r="I206" i="2"/>
  <c r="J206" i="2"/>
  <c r="K206" i="2"/>
  <c r="L206" i="2"/>
  <c r="B207" i="2"/>
  <c r="C207" i="2" s="1"/>
  <c r="D207" i="2" s="1"/>
  <c r="F207" i="2" s="1"/>
  <c r="H207" i="2" s="1"/>
  <c r="E207" i="2"/>
  <c r="G207" i="2"/>
  <c r="I207" i="2"/>
  <c r="J207" i="2"/>
  <c r="L207" i="2" s="1"/>
  <c r="K207" i="2"/>
  <c r="B208" i="2"/>
  <c r="C208" i="2"/>
  <c r="D208" i="2" s="1"/>
  <c r="F208" i="2" s="1"/>
  <c r="E208" i="2"/>
  <c r="G208" i="2"/>
  <c r="I208" i="2"/>
  <c r="J208" i="2"/>
  <c r="L208" i="2" s="1"/>
  <c r="K208" i="2"/>
  <c r="B209" i="2"/>
  <c r="C209" i="2"/>
  <c r="D209" i="2" s="1"/>
  <c r="F209" i="2" s="1"/>
  <c r="H209" i="2" s="1"/>
  <c r="E209" i="2"/>
  <c r="G209" i="2"/>
  <c r="I209" i="2"/>
  <c r="J209" i="2" s="1"/>
  <c r="K209" i="2"/>
  <c r="B185" i="2"/>
  <c r="C185" i="2" s="1"/>
  <c r="D185" i="2" s="1"/>
  <c r="F185" i="2" s="1"/>
  <c r="H185" i="2" s="1"/>
  <c r="E185" i="2"/>
  <c r="G185" i="2"/>
  <c r="I185" i="2"/>
  <c r="J185" i="2"/>
  <c r="L185" i="2" s="1"/>
  <c r="K185" i="2"/>
  <c r="B186" i="2"/>
  <c r="C186" i="2" s="1"/>
  <c r="D186" i="2" s="1"/>
  <c r="F186" i="2" s="1"/>
  <c r="H186" i="2" s="1"/>
  <c r="E186" i="2"/>
  <c r="G186" i="2"/>
  <c r="I186" i="2"/>
  <c r="J186" i="2"/>
  <c r="K186" i="2"/>
  <c r="B187" i="2"/>
  <c r="C187" i="2" s="1"/>
  <c r="D187" i="2" s="1"/>
  <c r="F187" i="2" s="1"/>
  <c r="E187" i="2"/>
  <c r="G187" i="2"/>
  <c r="I187" i="2"/>
  <c r="J187" i="2"/>
  <c r="L187" i="2" s="1"/>
  <c r="K187" i="2"/>
  <c r="B188" i="2"/>
  <c r="C188" i="2"/>
  <c r="D188" i="2" s="1"/>
  <c r="F188" i="2" s="1"/>
  <c r="E188" i="2"/>
  <c r="G188" i="2"/>
  <c r="I188" i="2"/>
  <c r="J188" i="2"/>
  <c r="L188" i="2" s="1"/>
  <c r="K188" i="2"/>
  <c r="B189" i="2"/>
  <c r="C189" i="2"/>
  <c r="D189" i="2" s="1"/>
  <c r="F189" i="2" s="1"/>
  <c r="E189" i="2"/>
  <c r="G189" i="2"/>
  <c r="I189" i="2"/>
  <c r="J189" i="2"/>
  <c r="K189" i="2"/>
  <c r="L189" i="2" s="1"/>
  <c r="B190" i="2"/>
  <c r="C190" i="2"/>
  <c r="D190" i="2" s="1"/>
  <c r="F190" i="2" s="1"/>
  <c r="H190" i="2" s="1"/>
  <c r="E190" i="2"/>
  <c r="G190" i="2"/>
  <c r="I190" i="2"/>
  <c r="J190" i="2" s="1"/>
  <c r="K190" i="2"/>
  <c r="B191" i="2"/>
  <c r="C191" i="2"/>
  <c r="D191" i="2"/>
  <c r="F191" i="2" s="1"/>
  <c r="H191" i="2" s="1"/>
  <c r="E191" i="2"/>
  <c r="G191" i="2"/>
  <c r="I191" i="2"/>
  <c r="J191" i="2" s="1"/>
  <c r="K191" i="2"/>
  <c r="B192" i="2"/>
  <c r="C192" i="2"/>
  <c r="D192" i="2"/>
  <c r="F192" i="2" s="1"/>
  <c r="H192" i="2" s="1"/>
  <c r="E192" i="2"/>
  <c r="G192" i="2"/>
  <c r="I192" i="2"/>
  <c r="J192" i="2" s="1"/>
  <c r="K192" i="2"/>
  <c r="B193" i="2"/>
  <c r="C193" i="2" s="1"/>
  <c r="D193" i="2" s="1"/>
  <c r="F193" i="2" s="1"/>
  <c r="H193" i="2" s="1"/>
  <c r="E193" i="2"/>
  <c r="G193" i="2"/>
  <c r="I193" i="2"/>
  <c r="J193" i="2"/>
  <c r="L193" i="2" s="1"/>
  <c r="N193" i="2" s="1"/>
  <c r="K193" i="2"/>
  <c r="B194" i="2"/>
  <c r="C194" i="2" s="1"/>
  <c r="D194" i="2" s="1"/>
  <c r="F194" i="2" s="1"/>
  <c r="H194" i="2" s="1"/>
  <c r="E194" i="2"/>
  <c r="G194" i="2"/>
  <c r="I194" i="2"/>
  <c r="J194" i="2"/>
  <c r="M194" i="2" s="1"/>
  <c r="K194" i="2"/>
  <c r="B195" i="2"/>
  <c r="C195" i="2" s="1"/>
  <c r="D195" i="2" s="1"/>
  <c r="F195" i="2" s="1"/>
  <c r="E195" i="2"/>
  <c r="G195" i="2"/>
  <c r="I195" i="2"/>
  <c r="J195" i="2"/>
  <c r="L195" i="2" s="1"/>
  <c r="K195" i="2"/>
  <c r="B171" i="2"/>
  <c r="C171" i="2"/>
  <c r="D171" i="2" s="1"/>
  <c r="F171" i="2" s="1"/>
  <c r="H171" i="2" s="1"/>
  <c r="E171" i="2"/>
  <c r="G171" i="2"/>
  <c r="I171" i="2"/>
  <c r="J171" i="2" s="1"/>
  <c r="K171" i="2"/>
  <c r="B172" i="2"/>
  <c r="C172" i="2" s="1"/>
  <c r="D172" i="2" s="1"/>
  <c r="F172" i="2" s="1"/>
  <c r="H172" i="2" s="1"/>
  <c r="E172" i="2"/>
  <c r="G172" i="2"/>
  <c r="I172" i="2"/>
  <c r="J172" i="2" s="1"/>
  <c r="K172" i="2"/>
  <c r="B173" i="2"/>
  <c r="C173" i="2"/>
  <c r="D173" i="2" s="1"/>
  <c r="F173" i="2" s="1"/>
  <c r="H173" i="2" s="1"/>
  <c r="E173" i="2"/>
  <c r="G173" i="2"/>
  <c r="I173" i="2"/>
  <c r="J173" i="2" s="1"/>
  <c r="K173" i="2"/>
  <c r="B174" i="2"/>
  <c r="C174" i="2" s="1"/>
  <c r="D174" i="2" s="1"/>
  <c r="F174" i="2" s="1"/>
  <c r="H174" i="2" s="1"/>
  <c r="E174" i="2"/>
  <c r="G174" i="2"/>
  <c r="I174" i="2"/>
  <c r="J174" i="2"/>
  <c r="L174" i="2" s="1"/>
  <c r="K174" i="2"/>
  <c r="B175" i="2"/>
  <c r="C175" i="2" s="1"/>
  <c r="D175" i="2" s="1"/>
  <c r="F175" i="2" s="1"/>
  <c r="H175" i="2" s="1"/>
  <c r="E175" i="2"/>
  <c r="G175" i="2"/>
  <c r="I175" i="2"/>
  <c r="J175" i="2" s="1"/>
  <c r="K175" i="2"/>
  <c r="B176" i="2"/>
  <c r="C176" i="2" s="1"/>
  <c r="D176" i="2" s="1"/>
  <c r="F176" i="2" s="1"/>
  <c r="H176" i="2" s="1"/>
  <c r="E176" i="2"/>
  <c r="G176" i="2"/>
  <c r="I176" i="2"/>
  <c r="J176" i="2"/>
  <c r="L176" i="2" s="1"/>
  <c r="N176" i="2" s="1"/>
  <c r="K176" i="2"/>
  <c r="B177" i="2"/>
  <c r="C177" i="2"/>
  <c r="D177" i="2" s="1"/>
  <c r="F177" i="2" s="1"/>
  <c r="H177" i="2" s="1"/>
  <c r="E177" i="2"/>
  <c r="G177" i="2"/>
  <c r="I177" i="2"/>
  <c r="J177" i="2" s="1"/>
  <c r="K177" i="2"/>
  <c r="B178" i="2"/>
  <c r="C178" i="2" s="1"/>
  <c r="D178" i="2" s="1"/>
  <c r="F178" i="2" s="1"/>
  <c r="H178" i="2" s="1"/>
  <c r="E178" i="2"/>
  <c r="G178" i="2"/>
  <c r="I178" i="2"/>
  <c r="J178" i="2"/>
  <c r="L178" i="2" s="1"/>
  <c r="K178" i="2"/>
  <c r="B179" i="2"/>
  <c r="C179" i="2"/>
  <c r="D179" i="2" s="1"/>
  <c r="F179" i="2" s="1"/>
  <c r="H179" i="2" s="1"/>
  <c r="E179" i="2"/>
  <c r="G179" i="2"/>
  <c r="I179" i="2"/>
  <c r="J179" i="2" s="1"/>
  <c r="K179" i="2"/>
  <c r="B180" i="2"/>
  <c r="C180" i="2" s="1"/>
  <c r="D180" i="2" s="1"/>
  <c r="F180" i="2" s="1"/>
  <c r="H180" i="2" s="1"/>
  <c r="E180" i="2"/>
  <c r="G180" i="2"/>
  <c r="I180" i="2"/>
  <c r="J180" i="2" s="1"/>
  <c r="K180" i="2"/>
  <c r="B181" i="2"/>
  <c r="C181" i="2"/>
  <c r="D181" i="2" s="1"/>
  <c r="F181" i="2" s="1"/>
  <c r="H181" i="2" s="1"/>
  <c r="E181" i="2"/>
  <c r="G181" i="2"/>
  <c r="I181" i="2"/>
  <c r="J181" i="2" s="1"/>
  <c r="K181" i="2"/>
  <c r="B182" i="2"/>
  <c r="C182" i="2" s="1"/>
  <c r="D182" i="2" s="1"/>
  <c r="F182" i="2" s="1"/>
  <c r="H182" i="2" s="1"/>
  <c r="E182" i="2"/>
  <c r="G182" i="2"/>
  <c r="I182" i="2"/>
  <c r="J182" i="2"/>
  <c r="L182" i="2" s="1"/>
  <c r="K182" i="2"/>
  <c r="B183" i="2"/>
  <c r="C183" i="2" s="1"/>
  <c r="D183" i="2" s="1"/>
  <c r="F183" i="2" s="1"/>
  <c r="H183" i="2" s="1"/>
  <c r="E183" i="2"/>
  <c r="G183" i="2"/>
  <c r="I183" i="2"/>
  <c r="J183" i="2" s="1"/>
  <c r="K183" i="2"/>
  <c r="B184" i="2"/>
  <c r="C184" i="2" s="1"/>
  <c r="D184" i="2" s="1"/>
  <c r="F184" i="2" s="1"/>
  <c r="H184" i="2" s="1"/>
  <c r="E184" i="2"/>
  <c r="G184" i="2"/>
  <c r="I184" i="2"/>
  <c r="J184" i="2"/>
  <c r="L184" i="2" s="1"/>
  <c r="K184" i="2"/>
  <c r="B157" i="2"/>
  <c r="C157" i="2"/>
  <c r="D157" i="2"/>
  <c r="F157" i="2" s="1"/>
  <c r="H157" i="2" s="1"/>
  <c r="E157" i="2"/>
  <c r="G157" i="2"/>
  <c r="I157" i="2"/>
  <c r="J157" i="2" s="1"/>
  <c r="K157" i="2"/>
  <c r="B158" i="2"/>
  <c r="C158" i="2"/>
  <c r="D158" i="2"/>
  <c r="F158" i="2" s="1"/>
  <c r="H158" i="2" s="1"/>
  <c r="E158" i="2"/>
  <c r="G158" i="2"/>
  <c r="I158" i="2"/>
  <c r="J158" i="2"/>
  <c r="M158" i="2" s="1"/>
  <c r="K158" i="2"/>
  <c r="L158" i="2"/>
  <c r="N158" i="2" s="1"/>
  <c r="B159" i="2"/>
  <c r="C159" i="2"/>
  <c r="D159" i="2" s="1"/>
  <c r="F159" i="2" s="1"/>
  <c r="E159" i="2"/>
  <c r="G159" i="2"/>
  <c r="I159" i="2"/>
  <c r="J159" i="2"/>
  <c r="L159" i="2" s="1"/>
  <c r="K159" i="2"/>
  <c r="B160" i="2"/>
  <c r="C160" i="2" s="1"/>
  <c r="D160" i="2" s="1"/>
  <c r="F160" i="2" s="1"/>
  <c r="H160" i="2" s="1"/>
  <c r="E160" i="2"/>
  <c r="G160" i="2"/>
  <c r="I160" i="2"/>
  <c r="J160" i="2"/>
  <c r="L160" i="2" s="1"/>
  <c r="K160" i="2"/>
  <c r="B161" i="2"/>
  <c r="C161" i="2"/>
  <c r="D161" i="2"/>
  <c r="F161" i="2" s="1"/>
  <c r="H161" i="2" s="1"/>
  <c r="E161" i="2"/>
  <c r="G161" i="2"/>
  <c r="I161" i="2"/>
  <c r="J161" i="2" s="1"/>
  <c r="K161" i="2"/>
  <c r="B162" i="2"/>
  <c r="C162" i="2"/>
  <c r="D162" i="2"/>
  <c r="E162" i="2"/>
  <c r="F162" i="2"/>
  <c r="M162" i="2" s="1"/>
  <c r="G162" i="2"/>
  <c r="H162" i="2"/>
  <c r="N162" i="2" s="1"/>
  <c r="I162" i="2"/>
  <c r="J162" i="2"/>
  <c r="K162" i="2"/>
  <c r="L162" i="2"/>
  <c r="B163" i="2"/>
  <c r="C163" i="2"/>
  <c r="D163" i="2" s="1"/>
  <c r="F163" i="2" s="1"/>
  <c r="H163" i="2" s="1"/>
  <c r="E163" i="2"/>
  <c r="G163" i="2"/>
  <c r="I163" i="2"/>
  <c r="J163" i="2"/>
  <c r="L163" i="2" s="1"/>
  <c r="N163" i="2" s="1"/>
  <c r="K163" i="2"/>
  <c r="B164" i="2"/>
  <c r="C164" i="2" s="1"/>
  <c r="D164" i="2" s="1"/>
  <c r="F164" i="2" s="1"/>
  <c r="E164" i="2"/>
  <c r="G164" i="2"/>
  <c r="I164" i="2"/>
  <c r="J164" i="2"/>
  <c r="K164" i="2"/>
  <c r="L164" i="2"/>
  <c r="B165" i="2"/>
  <c r="C165" i="2"/>
  <c r="D165" i="2"/>
  <c r="F165" i="2" s="1"/>
  <c r="H165" i="2" s="1"/>
  <c r="E165" i="2"/>
  <c r="G165" i="2"/>
  <c r="I165" i="2"/>
  <c r="J165" i="2" s="1"/>
  <c r="K165" i="2"/>
  <c r="B166" i="2"/>
  <c r="C166" i="2"/>
  <c r="D166" i="2"/>
  <c r="F166" i="2" s="1"/>
  <c r="H166" i="2" s="1"/>
  <c r="E166" i="2"/>
  <c r="G166" i="2"/>
  <c r="I166" i="2"/>
  <c r="J166" i="2"/>
  <c r="K166" i="2"/>
  <c r="L166" i="2"/>
  <c r="B167" i="2"/>
  <c r="C167" i="2"/>
  <c r="D167" i="2" s="1"/>
  <c r="F167" i="2" s="1"/>
  <c r="E167" i="2"/>
  <c r="G167" i="2"/>
  <c r="I167" i="2"/>
  <c r="J167" i="2"/>
  <c r="L167" i="2" s="1"/>
  <c r="K167" i="2"/>
  <c r="B168" i="2"/>
  <c r="C168" i="2" s="1"/>
  <c r="D168" i="2" s="1"/>
  <c r="F168" i="2" s="1"/>
  <c r="H168" i="2" s="1"/>
  <c r="E168" i="2"/>
  <c r="G168" i="2"/>
  <c r="I168" i="2"/>
  <c r="J168" i="2"/>
  <c r="L168" i="2" s="1"/>
  <c r="K168" i="2"/>
  <c r="B169" i="2"/>
  <c r="C169" i="2"/>
  <c r="D169" i="2"/>
  <c r="F169" i="2" s="1"/>
  <c r="H169" i="2" s="1"/>
  <c r="E169" i="2"/>
  <c r="G169" i="2"/>
  <c r="I169" i="2"/>
  <c r="J169" i="2" s="1"/>
  <c r="K169" i="2"/>
  <c r="B170" i="2"/>
  <c r="C170" i="2"/>
  <c r="D170" i="2"/>
  <c r="E170" i="2"/>
  <c r="F170" i="2"/>
  <c r="M170" i="2" s="1"/>
  <c r="G170" i="2"/>
  <c r="H170" i="2"/>
  <c r="N170" i="2" s="1"/>
  <c r="I170" i="2"/>
  <c r="J170" i="2"/>
  <c r="K170" i="2"/>
  <c r="L170" i="2"/>
  <c r="B148" i="2"/>
  <c r="C148" i="2"/>
  <c r="D148" i="2" s="1"/>
  <c r="F148" i="2" s="1"/>
  <c r="H148" i="2" s="1"/>
  <c r="E148" i="2"/>
  <c r="G148" i="2"/>
  <c r="I148" i="2"/>
  <c r="J148" i="2" s="1"/>
  <c r="K148" i="2"/>
  <c r="B149" i="2"/>
  <c r="C149" i="2" s="1"/>
  <c r="D149" i="2" s="1"/>
  <c r="F149" i="2" s="1"/>
  <c r="H149" i="2" s="1"/>
  <c r="E149" i="2"/>
  <c r="G149" i="2"/>
  <c r="I149" i="2"/>
  <c r="J149" i="2"/>
  <c r="K149" i="2"/>
  <c r="L149" i="2"/>
  <c r="B150" i="2"/>
  <c r="C150" i="2"/>
  <c r="D150" i="2" s="1"/>
  <c r="F150" i="2" s="1"/>
  <c r="H150" i="2" s="1"/>
  <c r="E150" i="2"/>
  <c r="G150" i="2"/>
  <c r="I150" i="2"/>
  <c r="J150" i="2" s="1"/>
  <c r="K150" i="2"/>
  <c r="B151" i="2"/>
  <c r="C151" i="2" s="1"/>
  <c r="D151" i="2" s="1"/>
  <c r="F151" i="2" s="1"/>
  <c r="H151" i="2" s="1"/>
  <c r="E151" i="2"/>
  <c r="G151" i="2"/>
  <c r="I151" i="2"/>
  <c r="J151" i="2"/>
  <c r="L151" i="2" s="1"/>
  <c r="N151" i="2" s="1"/>
  <c r="K151" i="2"/>
  <c r="B152" i="2"/>
  <c r="C152" i="2"/>
  <c r="D152" i="2" s="1"/>
  <c r="F152" i="2" s="1"/>
  <c r="H152" i="2" s="1"/>
  <c r="E152" i="2"/>
  <c r="G152" i="2"/>
  <c r="I152" i="2"/>
  <c r="J152" i="2" s="1"/>
  <c r="K152" i="2"/>
  <c r="B153" i="2"/>
  <c r="C153" i="2" s="1"/>
  <c r="D153" i="2" s="1"/>
  <c r="F153" i="2" s="1"/>
  <c r="H153" i="2" s="1"/>
  <c r="E153" i="2"/>
  <c r="G153" i="2"/>
  <c r="I153" i="2"/>
  <c r="J153" i="2"/>
  <c r="L153" i="2" s="1"/>
  <c r="K153" i="2"/>
  <c r="B154" i="2"/>
  <c r="C154" i="2"/>
  <c r="D154" i="2" s="1"/>
  <c r="F154" i="2" s="1"/>
  <c r="H154" i="2" s="1"/>
  <c r="E154" i="2"/>
  <c r="G154" i="2"/>
  <c r="I154" i="2"/>
  <c r="J154" i="2" s="1"/>
  <c r="K154" i="2"/>
  <c r="B155" i="2"/>
  <c r="C155" i="2" s="1"/>
  <c r="D155" i="2" s="1"/>
  <c r="F155" i="2" s="1"/>
  <c r="H155" i="2" s="1"/>
  <c r="E155" i="2"/>
  <c r="G155" i="2"/>
  <c r="I155" i="2"/>
  <c r="J155" i="2"/>
  <c r="L155" i="2" s="1"/>
  <c r="N155" i="2" s="1"/>
  <c r="K155" i="2"/>
  <c r="B156" i="2"/>
  <c r="C156" i="2"/>
  <c r="D156" i="2" s="1"/>
  <c r="F156" i="2" s="1"/>
  <c r="H156" i="2" s="1"/>
  <c r="E156" i="2"/>
  <c r="G156" i="2"/>
  <c r="I156" i="2"/>
  <c r="J156" i="2" s="1"/>
  <c r="K156" i="2"/>
  <c r="B136" i="2"/>
  <c r="C136" i="2"/>
  <c r="D136" i="2" s="1"/>
  <c r="F136" i="2" s="1"/>
  <c r="H136" i="2" s="1"/>
  <c r="E136" i="2"/>
  <c r="G136" i="2"/>
  <c r="I136" i="2"/>
  <c r="J136" i="2" s="1"/>
  <c r="K136" i="2"/>
  <c r="B137" i="2"/>
  <c r="C137" i="2" s="1"/>
  <c r="D137" i="2" s="1"/>
  <c r="F137" i="2" s="1"/>
  <c r="H137" i="2" s="1"/>
  <c r="E137" i="2"/>
  <c r="G137" i="2"/>
  <c r="I137" i="2"/>
  <c r="J137" i="2" s="1"/>
  <c r="K137" i="2"/>
  <c r="B138" i="2"/>
  <c r="C138" i="2"/>
  <c r="D138" i="2" s="1"/>
  <c r="F138" i="2" s="1"/>
  <c r="H138" i="2" s="1"/>
  <c r="E138" i="2"/>
  <c r="G138" i="2"/>
  <c r="I138" i="2"/>
  <c r="J138" i="2" s="1"/>
  <c r="K138" i="2"/>
  <c r="B139" i="2"/>
  <c r="C139" i="2" s="1"/>
  <c r="D139" i="2" s="1"/>
  <c r="F139" i="2" s="1"/>
  <c r="H139" i="2" s="1"/>
  <c r="E139" i="2"/>
  <c r="G139" i="2"/>
  <c r="I139" i="2"/>
  <c r="J139" i="2"/>
  <c r="L139" i="2" s="1"/>
  <c r="K139" i="2"/>
  <c r="B140" i="2"/>
  <c r="C140" i="2" s="1"/>
  <c r="D140" i="2" s="1"/>
  <c r="F140" i="2" s="1"/>
  <c r="H140" i="2" s="1"/>
  <c r="E140" i="2"/>
  <c r="G140" i="2"/>
  <c r="I140" i="2"/>
  <c r="J140" i="2" s="1"/>
  <c r="K140" i="2"/>
  <c r="B141" i="2"/>
  <c r="C141" i="2" s="1"/>
  <c r="D141" i="2" s="1"/>
  <c r="F141" i="2" s="1"/>
  <c r="H141" i="2" s="1"/>
  <c r="E141" i="2"/>
  <c r="G141" i="2"/>
  <c r="I141" i="2"/>
  <c r="J141" i="2"/>
  <c r="L141" i="2" s="1"/>
  <c r="K141" i="2"/>
  <c r="B142" i="2"/>
  <c r="C142" i="2"/>
  <c r="D142" i="2" s="1"/>
  <c r="F142" i="2" s="1"/>
  <c r="H142" i="2" s="1"/>
  <c r="E142" i="2"/>
  <c r="G142" i="2"/>
  <c r="I142" i="2"/>
  <c r="J142" i="2" s="1"/>
  <c r="K142" i="2"/>
  <c r="B143" i="2"/>
  <c r="C143" i="2" s="1"/>
  <c r="D143" i="2" s="1"/>
  <c r="F143" i="2" s="1"/>
  <c r="H143" i="2" s="1"/>
  <c r="E143" i="2"/>
  <c r="G143" i="2"/>
  <c r="I143" i="2"/>
  <c r="J143" i="2"/>
  <c r="L143" i="2" s="1"/>
  <c r="N143" i="2" s="1"/>
  <c r="K143" i="2"/>
  <c r="B144" i="2"/>
  <c r="C144" i="2"/>
  <c r="D144" i="2" s="1"/>
  <c r="F144" i="2" s="1"/>
  <c r="H144" i="2" s="1"/>
  <c r="E144" i="2"/>
  <c r="G144" i="2"/>
  <c r="I144" i="2"/>
  <c r="J144" i="2" s="1"/>
  <c r="K144" i="2"/>
  <c r="B145" i="2"/>
  <c r="C145" i="2" s="1"/>
  <c r="D145" i="2" s="1"/>
  <c r="F145" i="2" s="1"/>
  <c r="H145" i="2" s="1"/>
  <c r="E145" i="2"/>
  <c r="G145" i="2"/>
  <c r="I145" i="2"/>
  <c r="J145" i="2" s="1"/>
  <c r="K145" i="2"/>
  <c r="B146" i="2"/>
  <c r="C146" i="2"/>
  <c r="D146" i="2" s="1"/>
  <c r="F146" i="2" s="1"/>
  <c r="H146" i="2" s="1"/>
  <c r="E146" i="2"/>
  <c r="G146" i="2"/>
  <c r="I146" i="2"/>
  <c r="J146" i="2" s="1"/>
  <c r="K146" i="2"/>
  <c r="B147" i="2"/>
  <c r="C147" i="2" s="1"/>
  <c r="D147" i="2" s="1"/>
  <c r="F147" i="2" s="1"/>
  <c r="H147" i="2" s="1"/>
  <c r="E147" i="2"/>
  <c r="G147" i="2"/>
  <c r="I147" i="2"/>
  <c r="J147" i="2"/>
  <c r="L147" i="2" s="1"/>
  <c r="K147" i="2"/>
  <c r="B129" i="2"/>
  <c r="C129" i="2" s="1"/>
  <c r="D129" i="2" s="1"/>
  <c r="F129" i="2" s="1"/>
  <c r="H129" i="2" s="1"/>
  <c r="E129" i="2"/>
  <c r="G129" i="2"/>
  <c r="I129" i="2"/>
  <c r="J129" i="2" s="1"/>
  <c r="K129" i="2"/>
  <c r="B130" i="2"/>
  <c r="C130" i="2"/>
  <c r="D130" i="2"/>
  <c r="F130" i="2" s="1"/>
  <c r="H130" i="2" s="1"/>
  <c r="E130" i="2"/>
  <c r="G130" i="2"/>
  <c r="I130" i="2"/>
  <c r="J130" i="2"/>
  <c r="K130" i="2"/>
  <c r="L130" i="2"/>
  <c r="B131" i="2"/>
  <c r="C131" i="2"/>
  <c r="D131" i="2" s="1"/>
  <c r="F131" i="2" s="1"/>
  <c r="E131" i="2"/>
  <c r="G131" i="2"/>
  <c r="I131" i="2"/>
  <c r="J131" i="2"/>
  <c r="K131" i="2"/>
  <c r="L131" i="2" s="1"/>
  <c r="B132" i="2"/>
  <c r="C132" i="2" s="1"/>
  <c r="D132" i="2" s="1"/>
  <c r="F132" i="2" s="1"/>
  <c r="H132" i="2" s="1"/>
  <c r="E132" i="2"/>
  <c r="G132" i="2"/>
  <c r="I132" i="2"/>
  <c r="J132" i="2"/>
  <c r="L132" i="2" s="1"/>
  <c r="K132" i="2"/>
  <c r="B133" i="2"/>
  <c r="C133" i="2"/>
  <c r="D133" i="2"/>
  <c r="F133" i="2" s="1"/>
  <c r="H133" i="2" s="1"/>
  <c r="E133" i="2"/>
  <c r="G133" i="2"/>
  <c r="I133" i="2"/>
  <c r="J133" i="2" s="1"/>
  <c r="K133" i="2"/>
  <c r="B134" i="2"/>
  <c r="C134" i="2" s="1"/>
  <c r="D134" i="2" s="1"/>
  <c r="F134" i="2" s="1"/>
  <c r="E134" i="2"/>
  <c r="G134" i="2"/>
  <c r="I134" i="2"/>
  <c r="J134" i="2"/>
  <c r="K134" i="2"/>
  <c r="L134" i="2"/>
  <c r="B135" i="2"/>
  <c r="C135" i="2"/>
  <c r="D135" i="2" s="1"/>
  <c r="F135" i="2" s="1"/>
  <c r="H135" i="2" s="1"/>
  <c r="E135" i="2"/>
  <c r="G135" i="2"/>
  <c r="I135" i="2"/>
  <c r="J135" i="2"/>
  <c r="L135" i="2" s="1"/>
  <c r="N135" i="2" s="1"/>
  <c r="K135" i="2"/>
  <c r="B122" i="2"/>
  <c r="C122" i="2"/>
  <c r="D122" i="2" s="1"/>
  <c r="F122" i="2" s="1"/>
  <c r="H122" i="2" s="1"/>
  <c r="E122" i="2"/>
  <c r="G122" i="2"/>
  <c r="I122" i="2"/>
  <c r="J122" i="2" s="1"/>
  <c r="K122" i="2"/>
  <c r="B123" i="2"/>
  <c r="C123" i="2" s="1"/>
  <c r="D123" i="2" s="1"/>
  <c r="F123" i="2" s="1"/>
  <c r="E123" i="2"/>
  <c r="G123" i="2"/>
  <c r="I123" i="2"/>
  <c r="J123" i="2"/>
  <c r="K123" i="2"/>
  <c r="L123" i="2"/>
  <c r="B124" i="2"/>
  <c r="C124" i="2"/>
  <c r="D124" i="2" s="1"/>
  <c r="F124" i="2" s="1"/>
  <c r="H124" i="2" s="1"/>
  <c r="E124" i="2"/>
  <c r="G124" i="2"/>
  <c r="I124" i="2"/>
  <c r="J124" i="2" s="1"/>
  <c r="K124" i="2"/>
  <c r="B125" i="2"/>
  <c r="C125" i="2" s="1"/>
  <c r="D125" i="2" s="1"/>
  <c r="F125" i="2" s="1"/>
  <c r="H125" i="2" s="1"/>
  <c r="E125" i="2"/>
  <c r="G125" i="2"/>
  <c r="I125" i="2"/>
  <c r="J125" i="2"/>
  <c r="L125" i="2" s="1"/>
  <c r="N125" i="2" s="1"/>
  <c r="K125" i="2"/>
  <c r="B126" i="2"/>
  <c r="C126" i="2"/>
  <c r="D126" i="2" s="1"/>
  <c r="F126" i="2" s="1"/>
  <c r="H126" i="2" s="1"/>
  <c r="E126" i="2"/>
  <c r="G126" i="2"/>
  <c r="I126" i="2"/>
  <c r="J126" i="2" s="1"/>
  <c r="K126" i="2"/>
  <c r="B127" i="2"/>
  <c r="C127" i="2" s="1"/>
  <c r="D127" i="2" s="1"/>
  <c r="F127" i="2" s="1"/>
  <c r="H127" i="2" s="1"/>
  <c r="E127" i="2"/>
  <c r="G127" i="2"/>
  <c r="I127" i="2"/>
  <c r="J127" i="2"/>
  <c r="L127" i="2" s="1"/>
  <c r="K127" i="2"/>
  <c r="B128" i="2"/>
  <c r="C128" i="2"/>
  <c r="D128" i="2" s="1"/>
  <c r="F128" i="2" s="1"/>
  <c r="H128" i="2" s="1"/>
  <c r="E128" i="2"/>
  <c r="G128" i="2"/>
  <c r="I128" i="2"/>
  <c r="J128" i="2" s="1"/>
  <c r="K128" i="2"/>
  <c r="B110" i="2"/>
  <c r="C110" i="2" s="1"/>
  <c r="D110" i="2" s="1"/>
  <c r="F110" i="2" s="1"/>
  <c r="H110" i="2" s="1"/>
  <c r="E110" i="2"/>
  <c r="G110" i="2"/>
  <c r="I110" i="2"/>
  <c r="J110" i="2" s="1"/>
  <c r="K110" i="2"/>
  <c r="B111" i="2"/>
  <c r="C111" i="2"/>
  <c r="D111" i="2"/>
  <c r="F111" i="2" s="1"/>
  <c r="H111" i="2" s="1"/>
  <c r="E111" i="2"/>
  <c r="G111" i="2"/>
  <c r="I111" i="2"/>
  <c r="J111" i="2" s="1"/>
  <c r="K111" i="2"/>
  <c r="B112" i="2"/>
  <c r="C112" i="2" s="1"/>
  <c r="D112" i="2" s="1"/>
  <c r="F112" i="2" s="1"/>
  <c r="E112" i="2"/>
  <c r="G112" i="2"/>
  <c r="I112" i="2"/>
  <c r="J112" i="2"/>
  <c r="K112" i="2"/>
  <c r="L112" i="2"/>
  <c r="B113" i="2"/>
  <c r="C113" i="2" s="1"/>
  <c r="D113" i="2" s="1"/>
  <c r="F113" i="2" s="1"/>
  <c r="H113" i="2" s="1"/>
  <c r="E113" i="2"/>
  <c r="G113" i="2"/>
  <c r="I113" i="2"/>
  <c r="J113" i="2"/>
  <c r="L113" i="2" s="1"/>
  <c r="N113" i="2" s="1"/>
  <c r="K113" i="2"/>
  <c r="B114" i="2"/>
  <c r="C114" i="2" s="1"/>
  <c r="D114" i="2" s="1"/>
  <c r="F114" i="2" s="1"/>
  <c r="E114" i="2"/>
  <c r="G114" i="2"/>
  <c r="I114" i="2"/>
  <c r="J114" i="2"/>
  <c r="K114" i="2"/>
  <c r="L114" i="2"/>
  <c r="B115" i="2"/>
  <c r="C115" i="2"/>
  <c r="D115" i="2" s="1"/>
  <c r="F115" i="2" s="1"/>
  <c r="H115" i="2" s="1"/>
  <c r="E115" i="2"/>
  <c r="G115" i="2"/>
  <c r="I115" i="2"/>
  <c r="J115" i="2" s="1"/>
  <c r="K115" i="2"/>
  <c r="B116" i="2"/>
  <c r="C116" i="2"/>
  <c r="D116" i="2" s="1"/>
  <c r="F116" i="2" s="1"/>
  <c r="H116" i="2" s="1"/>
  <c r="E116" i="2"/>
  <c r="G116" i="2"/>
  <c r="I116" i="2"/>
  <c r="J116" i="2"/>
  <c r="L116" i="2" s="1"/>
  <c r="K116" i="2"/>
  <c r="B117" i="2"/>
  <c r="C117" i="2"/>
  <c r="D117" i="2" s="1"/>
  <c r="F117" i="2" s="1"/>
  <c r="H117" i="2" s="1"/>
  <c r="E117" i="2"/>
  <c r="G117" i="2"/>
  <c r="I117" i="2"/>
  <c r="J117" i="2" s="1"/>
  <c r="K117" i="2"/>
  <c r="B118" i="2"/>
  <c r="C118" i="2" s="1"/>
  <c r="D118" i="2" s="1"/>
  <c r="F118" i="2" s="1"/>
  <c r="H118" i="2" s="1"/>
  <c r="E118" i="2"/>
  <c r="G118" i="2"/>
  <c r="I118" i="2"/>
  <c r="J118" i="2" s="1"/>
  <c r="K118" i="2"/>
  <c r="B119" i="2"/>
  <c r="C119" i="2"/>
  <c r="D119" i="2"/>
  <c r="F119" i="2" s="1"/>
  <c r="H119" i="2" s="1"/>
  <c r="E119" i="2"/>
  <c r="G119" i="2"/>
  <c r="I119" i="2"/>
  <c r="J119" i="2" s="1"/>
  <c r="K119" i="2"/>
  <c r="B120" i="2"/>
  <c r="C120" i="2" s="1"/>
  <c r="D120" i="2" s="1"/>
  <c r="F120" i="2" s="1"/>
  <c r="H120" i="2" s="1"/>
  <c r="N120" i="2" s="1"/>
  <c r="E120" i="2"/>
  <c r="G120" i="2"/>
  <c r="I120" i="2"/>
  <c r="J120" i="2"/>
  <c r="K120" i="2"/>
  <c r="L120" i="2"/>
  <c r="B121" i="2"/>
  <c r="C121" i="2" s="1"/>
  <c r="D121" i="2" s="1"/>
  <c r="F121" i="2" s="1"/>
  <c r="H121" i="2" s="1"/>
  <c r="E121" i="2"/>
  <c r="G121" i="2"/>
  <c r="I121" i="2"/>
  <c r="J121" i="2"/>
  <c r="L121" i="2" s="1"/>
  <c r="K121" i="2"/>
  <c r="B101" i="2"/>
  <c r="C101" i="2" s="1"/>
  <c r="D101" i="2" s="1"/>
  <c r="F101" i="2" s="1"/>
  <c r="H101" i="2" s="1"/>
  <c r="E101" i="2"/>
  <c r="G101" i="2"/>
  <c r="I101" i="2"/>
  <c r="J101" i="2" s="1"/>
  <c r="K101" i="2"/>
  <c r="B102" i="2"/>
  <c r="C102" i="2" s="1"/>
  <c r="D102" i="2" s="1"/>
  <c r="F102" i="2" s="1"/>
  <c r="H102" i="2" s="1"/>
  <c r="E102" i="2"/>
  <c r="G102" i="2"/>
  <c r="I102" i="2"/>
  <c r="J102" i="2"/>
  <c r="K102" i="2"/>
  <c r="B103" i="2"/>
  <c r="C103" i="2"/>
  <c r="D103" i="2"/>
  <c r="F103" i="2" s="1"/>
  <c r="E103" i="2"/>
  <c r="G103" i="2"/>
  <c r="I103" i="2"/>
  <c r="J103" i="2"/>
  <c r="K103" i="2"/>
  <c r="L103" i="2"/>
  <c r="B104" i="2"/>
  <c r="C104" i="2" s="1"/>
  <c r="D104" i="2" s="1"/>
  <c r="F104" i="2" s="1"/>
  <c r="H104" i="2" s="1"/>
  <c r="E104" i="2"/>
  <c r="G104" i="2"/>
  <c r="I104" i="2"/>
  <c r="J104" i="2"/>
  <c r="L104" i="2" s="1"/>
  <c r="N104" i="2" s="1"/>
  <c r="K104" i="2"/>
  <c r="B105" i="2"/>
  <c r="C105" i="2"/>
  <c r="D105" i="2" s="1"/>
  <c r="F105" i="2" s="1"/>
  <c r="E105" i="2"/>
  <c r="G105" i="2"/>
  <c r="I105" i="2"/>
  <c r="J105" i="2"/>
  <c r="L105" i="2" s="1"/>
  <c r="K105" i="2"/>
  <c r="B106" i="2"/>
  <c r="C106" i="2"/>
  <c r="D106" i="2"/>
  <c r="E106" i="2"/>
  <c r="F106" i="2"/>
  <c r="H106" i="2" s="1"/>
  <c r="G106" i="2"/>
  <c r="I106" i="2"/>
  <c r="J106" i="2" s="1"/>
  <c r="K106" i="2"/>
  <c r="B107" i="2"/>
  <c r="C107" i="2"/>
  <c r="D107" i="2" s="1"/>
  <c r="F107" i="2" s="1"/>
  <c r="H107" i="2" s="1"/>
  <c r="E107" i="2"/>
  <c r="G107" i="2"/>
  <c r="I107" i="2"/>
  <c r="J107" i="2" s="1"/>
  <c r="K107" i="2"/>
  <c r="B108" i="2"/>
  <c r="C108" i="2"/>
  <c r="D108" i="2"/>
  <c r="E108" i="2"/>
  <c r="F108" i="2"/>
  <c r="H108" i="2" s="1"/>
  <c r="N108" i="2" s="1"/>
  <c r="G108" i="2"/>
  <c r="I108" i="2"/>
  <c r="J108" i="2"/>
  <c r="M108" i="2" s="1"/>
  <c r="K108" i="2"/>
  <c r="L108" i="2"/>
  <c r="B109" i="2"/>
  <c r="C109" i="2" s="1"/>
  <c r="D109" i="2" s="1"/>
  <c r="F109" i="2" s="1"/>
  <c r="H109" i="2" s="1"/>
  <c r="E109" i="2"/>
  <c r="G109" i="2"/>
  <c r="I109" i="2"/>
  <c r="J109" i="2" s="1"/>
  <c r="K109" i="2"/>
  <c r="B91" i="2"/>
  <c r="C91" i="2"/>
  <c r="D91" i="2" s="1"/>
  <c r="F91" i="2" s="1"/>
  <c r="H91" i="2" s="1"/>
  <c r="E91" i="2"/>
  <c r="G91" i="2"/>
  <c r="I91" i="2"/>
  <c r="J91" i="2" s="1"/>
  <c r="K91" i="2"/>
  <c r="B92" i="2"/>
  <c r="C92" i="2" s="1"/>
  <c r="D92" i="2" s="1"/>
  <c r="F92" i="2" s="1"/>
  <c r="H92" i="2" s="1"/>
  <c r="E92" i="2"/>
  <c r="G92" i="2"/>
  <c r="I92" i="2"/>
  <c r="J92" i="2"/>
  <c r="K92" i="2"/>
  <c r="L92" i="2"/>
  <c r="N92" i="2" s="1"/>
  <c r="B93" i="2"/>
  <c r="C93" i="2"/>
  <c r="D93" i="2" s="1"/>
  <c r="F93" i="2" s="1"/>
  <c r="H93" i="2" s="1"/>
  <c r="E93" i="2"/>
  <c r="G93" i="2"/>
  <c r="I93" i="2"/>
  <c r="J93" i="2" s="1"/>
  <c r="K93" i="2"/>
  <c r="B94" i="2"/>
  <c r="C94" i="2" s="1"/>
  <c r="D94" i="2" s="1"/>
  <c r="F94" i="2" s="1"/>
  <c r="H94" i="2" s="1"/>
  <c r="E94" i="2"/>
  <c r="G94" i="2"/>
  <c r="I94" i="2"/>
  <c r="J94" i="2"/>
  <c r="L94" i="2" s="1"/>
  <c r="N94" i="2" s="1"/>
  <c r="K94" i="2"/>
  <c r="B95" i="2"/>
  <c r="C95" i="2"/>
  <c r="D95" i="2" s="1"/>
  <c r="F95" i="2" s="1"/>
  <c r="H95" i="2" s="1"/>
  <c r="E95" i="2"/>
  <c r="G95" i="2"/>
  <c r="I95" i="2"/>
  <c r="J95" i="2" s="1"/>
  <c r="K95" i="2"/>
  <c r="B96" i="2"/>
  <c r="C96" i="2" s="1"/>
  <c r="D96" i="2" s="1"/>
  <c r="F96" i="2" s="1"/>
  <c r="H96" i="2" s="1"/>
  <c r="E96" i="2"/>
  <c r="G96" i="2"/>
  <c r="I96" i="2"/>
  <c r="J96" i="2"/>
  <c r="L96" i="2" s="1"/>
  <c r="K96" i="2"/>
  <c r="B97" i="2"/>
  <c r="C97" i="2"/>
  <c r="D97" i="2" s="1"/>
  <c r="F97" i="2" s="1"/>
  <c r="H97" i="2" s="1"/>
  <c r="E97" i="2"/>
  <c r="G97" i="2"/>
  <c r="I97" i="2"/>
  <c r="J97" i="2" s="1"/>
  <c r="K97" i="2"/>
  <c r="B98" i="2"/>
  <c r="C98" i="2" s="1"/>
  <c r="D98" i="2" s="1"/>
  <c r="F98" i="2" s="1"/>
  <c r="H98" i="2" s="1"/>
  <c r="E98" i="2"/>
  <c r="G98" i="2"/>
  <c r="I98" i="2"/>
  <c r="J98" i="2"/>
  <c r="L98" i="2" s="1"/>
  <c r="N98" i="2" s="1"/>
  <c r="K98" i="2"/>
  <c r="B99" i="2"/>
  <c r="C99" i="2"/>
  <c r="D99" i="2" s="1"/>
  <c r="F99" i="2" s="1"/>
  <c r="H99" i="2" s="1"/>
  <c r="E99" i="2"/>
  <c r="G99" i="2"/>
  <c r="I99" i="2"/>
  <c r="J99" i="2" s="1"/>
  <c r="K99" i="2"/>
  <c r="B100" i="2"/>
  <c r="C100" i="2" s="1"/>
  <c r="D100" i="2" s="1"/>
  <c r="F100" i="2" s="1"/>
  <c r="H100" i="2" s="1"/>
  <c r="E100" i="2"/>
  <c r="G100" i="2"/>
  <c r="I100" i="2"/>
  <c r="J100" i="2"/>
  <c r="K100" i="2"/>
  <c r="L100" i="2"/>
  <c r="B83" i="2"/>
  <c r="C83" i="2"/>
  <c r="D83" i="2" s="1"/>
  <c r="F83" i="2" s="1"/>
  <c r="H83" i="2" s="1"/>
  <c r="E83" i="2"/>
  <c r="G83" i="2"/>
  <c r="I83" i="2"/>
  <c r="J83" i="2" s="1"/>
  <c r="K83" i="2"/>
  <c r="B84" i="2"/>
  <c r="C84" i="2" s="1"/>
  <c r="D84" i="2" s="1"/>
  <c r="F84" i="2" s="1"/>
  <c r="H84" i="2" s="1"/>
  <c r="E84" i="2"/>
  <c r="G84" i="2"/>
  <c r="I84" i="2"/>
  <c r="J84" i="2" s="1"/>
  <c r="K84" i="2"/>
  <c r="B85" i="2"/>
  <c r="C85" i="2"/>
  <c r="D85" i="2" s="1"/>
  <c r="F85" i="2" s="1"/>
  <c r="H85" i="2" s="1"/>
  <c r="E85" i="2"/>
  <c r="G85" i="2"/>
  <c r="I85" i="2"/>
  <c r="J85" i="2" s="1"/>
  <c r="K85" i="2"/>
  <c r="B86" i="2"/>
  <c r="C86" i="2"/>
  <c r="D86" i="2" s="1"/>
  <c r="F86" i="2" s="1"/>
  <c r="H86" i="2" s="1"/>
  <c r="E86" i="2"/>
  <c r="G86" i="2"/>
  <c r="I86" i="2"/>
  <c r="J86" i="2"/>
  <c r="L86" i="2" s="1"/>
  <c r="N86" i="2" s="1"/>
  <c r="K86" i="2"/>
  <c r="B87" i="2"/>
  <c r="C87" i="2" s="1"/>
  <c r="D87" i="2" s="1"/>
  <c r="F87" i="2" s="1"/>
  <c r="H87" i="2" s="1"/>
  <c r="E87" i="2"/>
  <c r="G87" i="2"/>
  <c r="I87" i="2"/>
  <c r="J87" i="2" s="1"/>
  <c r="K87" i="2"/>
  <c r="B88" i="2"/>
  <c r="C88" i="2" s="1"/>
  <c r="D88" i="2" s="1"/>
  <c r="F88" i="2" s="1"/>
  <c r="H88" i="2" s="1"/>
  <c r="E88" i="2"/>
  <c r="G88" i="2"/>
  <c r="I88" i="2"/>
  <c r="J88" i="2" s="1"/>
  <c r="K88" i="2"/>
  <c r="B89" i="2"/>
  <c r="C89" i="2"/>
  <c r="D89" i="2"/>
  <c r="F89" i="2" s="1"/>
  <c r="E89" i="2"/>
  <c r="G89" i="2"/>
  <c r="I89" i="2"/>
  <c r="J89" i="2"/>
  <c r="K89" i="2"/>
  <c r="L89" i="2"/>
  <c r="B90" i="2"/>
  <c r="C90" i="2" s="1"/>
  <c r="D90" i="2" s="1"/>
  <c r="F90" i="2" s="1"/>
  <c r="H90" i="2" s="1"/>
  <c r="E90" i="2"/>
  <c r="G90" i="2"/>
  <c r="I90" i="2"/>
  <c r="J90" i="2"/>
  <c r="L90" i="2" s="1"/>
  <c r="N90" i="2" s="1"/>
  <c r="K90" i="2"/>
  <c r="B74" i="2"/>
  <c r="C74" i="2"/>
  <c r="D74" i="2" s="1"/>
  <c r="F74" i="2" s="1"/>
  <c r="H74" i="2" s="1"/>
  <c r="E74" i="2"/>
  <c r="G74" i="2"/>
  <c r="I74" i="2"/>
  <c r="J74" i="2" s="1"/>
  <c r="K74" i="2"/>
  <c r="B75" i="2"/>
  <c r="C75" i="2"/>
  <c r="D75" i="2"/>
  <c r="F75" i="2" s="1"/>
  <c r="H75" i="2" s="1"/>
  <c r="E75" i="2"/>
  <c r="G75" i="2"/>
  <c r="I75" i="2"/>
  <c r="J75" i="2"/>
  <c r="M75" i="2" s="1"/>
  <c r="K75" i="2"/>
  <c r="L75" i="2"/>
  <c r="N75" i="2" s="1"/>
  <c r="B76" i="2"/>
  <c r="C76" i="2"/>
  <c r="D76" i="2" s="1"/>
  <c r="F76" i="2" s="1"/>
  <c r="H76" i="2" s="1"/>
  <c r="E76" i="2"/>
  <c r="G76" i="2"/>
  <c r="I76" i="2"/>
  <c r="J76" i="2" s="1"/>
  <c r="K76" i="2"/>
  <c r="B77" i="2"/>
  <c r="C77" i="2" s="1"/>
  <c r="D77" i="2" s="1"/>
  <c r="F77" i="2" s="1"/>
  <c r="H77" i="2" s="1"/>
  <c r="E77" i="2"/>
  <c r="G77" i="2"/>
  <c r="I77" i="2"/>
  <c r="J77" i="2"/>
  <c r="L77" i="2" s="1"/>
  <c r="K77" i="2"/>
  <c r="B78" i="2"/>
  <c r="C78" i="2"/>
  <c r="D78" i="2"/>
  <c r="F78" i="2" s="1"/>
  <c r="H78" i="2" s="1"/>
  <c r="E78" i="2"/>
  <c r="G78" i="2"/>
  <c r="I78" i="2"/>
  <c r="J78" i="2" s="1"/>
  <c r="K78" i="2"/>
  <c r="B79" i="2"/>
  <c r="C79" i="2" s="1"/>
  <c r="D79" i="2" s="1"/>
  <c r="F79" i="2" s="1"/>
  <c r="E79" i="2"/>
  <c r="G79" i="2"/>
  <c r="I79" i="2"/>
  <c r="J79" i="2"/>
  <c r="K79" i="2"/>
  <c r="L79" i="2"/>
  <c r="B80" i="2"/>
  <c r="C80" i="2"/>
  <c r="D80" i="2" s="1"/>
  <c r="F80" i="2" s="1"/>
  <c r="H80" i="2" s="1"/>
  <c r="E80" i="2"/>
  <c r="G80" i="2"/>
  <c r="I80" i="2"/>
  <c r="J80" i="2"/>
  <c r="L80" i="2" s="1"/>
  <c r="K80" i="2"/>
  <c r="B81" i="2"/>
  <c r="C81" i="2" s="1"/>
  <c r="D81" i="2" s="1"/>
  <c r="F81" i="2" s="1"/>
  <c r="E81" i="2"/>
  <c r="G81" i="2"/>
  <c r="I81" i="2"/>
  <c r="J81" i="2"/>
  <c r="K81" i="2"/>
  <c r="L81" i="2"/>
  <c r="B82" i="2"/>
  <c r="C82" i="2"/>
  <c r="D82" i="2" s="1"/>
  <c r="F82" i="2" s="1"/>
  <c r="H82" i="2" s="1"/>
  <c r="E82" i="2"/>
  <c r="G82" i="2"/>
  <c r="I82" i="2"/>
  <c r="J82" i="2" s="1"/>
  <c r="K82" i="2"/>
  <c r="B64" i="2"/>
  <c r="C64" i="2" s="1"/>
  <c r="D64" i="2" s="1"/>
  <c r="F64" i="2" s="1"/>
  <c r="H64" i="2" s="1"/>
  <c r="E64" i="2"/>
  <c r="G64" i="2"/>
  <c r="I64" i="2"/>
  <c r="J64" i="2" s="1"/>
  <c r="K64" i="2"/>
  <c r="B65" i="2"/>
  <c r="C65" i="2" s="1"/>
  <c r="D65" i="2" s="1"/>
  <c r="F65" i="2" s="1"/>
  <c r="H65" i="2" s="1"/>
  <c r="E65" i="2"/>
  <c r="G65" i="2"/>
  <c r="I65" i="2"/>
  <c r="J65" i="2"/>
  <c r="K65" i="2"/>
  <c r="B66" i="2"/>
  <c r="C66" i="2" s="1"/>
  <c r="D66" i="2" s="1"/>
  <c r="F66" i="2" s="1"/>
  <c r="E66" i="2"/>
  <c r="G66" i="2"/>
  <c r="I66" i="2"/>
  <c r="J66" i="2"/>
  <c r="K66" i="2"/>
  <c r="L66" i="2"/>
  <c r="B67" i="2"/>
  <c r="C67" i="2" s="1"/>
  <c r="D67" i="2" s="1"/>
  <c r="F67" i="2" s="1"/>
  <c r="H67" i="2" s="1"/>
  <c r="E67" i="2"/>
  <c r="G67" i="2"/>
  <c r="I67" i="2"/>
  <c r="J67" i="2"/>
  <c r="L67" i="2" s="1"/>
  <c r="K67" i="2"/>
  <c r="B68" i="2"/>
  <c r="C68" i="2"/>
  <c r="D68" i="2" s="1"/>
  <c r="F68" i="2" s="1"/>
  <c r="E68" i="2"/>
  <c r="G68" i="2"/>
  <c r="I68" i="2"/>
  <c r="J68" i="2"/>
  <c r="L68" i="2" s="1"/>
  <c r="K68" i="2"/>
  <c r="B69" i="2"/>
  <c r="C69" i="2" s="1"/>
  <c r="D69" i="2" s="1"/>
  <c r="F69" i="2" s="1"/>
  <c r="H69" i="2" s="1"/>
  <c r="E69" i="2"/>
  <c r="G69" i="2"/>
  <c r="I69" i="2"/>
  <c r="J69" i="2" s="1"/>
  <c r="K69" i="2"/>
  <c r="B70" i="2"/>
  <c r="C70" i="2"/>
  <c r="D70" i="2" s="1"/>
  <c r="F70" i="2" s="1"/>
  <c r="H70" i="2" s="1"/>
  <c r="E70" i="2"/>
  <c r="G70" i="2"/>
  <c r="I70" i="2"/>
  <c r="J70" i="2" s="1"/>
  <c r="K70" i="2"/>
  <c r="B71" i="2"/>
  <c r="C71" i="2"/>
  <c r="D71" i="2"/>
  <c r="E71" i="2"/>
  <c r="F71" i="2"/>
  <c r="H71" i="2" s="1"/>
  <c r="N71" i="2" s="1"/>
  <c r="G71" i="2"/>
  <c r="I71" i="2"/>
  <c r="J71" i="2"/>
  <c r="M71" i="2" s="1"/>
  <c r="K71" i="2"/>
  <c r="L71" i="2"/>
  <c r="B72" i="2"/>
  <c r="C72" i="2" s="1"/>
  <c r="D72" i="2" s="1"/>
  <c r="F72" i="2" s="1"/>
  <c r="H72" i="2" s="1"/>
  <c r="E72" i="2"/>
  <c r="G72" i="2"/>
  <c r="I72" i="2"/>
  <c r="J72" i="2" s="1"/>
  <c r="K72" i="2"/>
  <c r="B73" i="2"/>
  <c r="C73" i="2" s="1"/>
  <c r="D73" i="2" s="1"/>
  <c r="F73" i="2" s="1"/>
  <c r="H73" i="2" s="1"/>
  <c r="E73" i="2"/>
  <c r="G73" i="2"/>
  <c r="I73" i="2"/>
  <c r="J73" i="2"/>
  <c r="M73" i="2" s="1"/>
  <c r="K73" i="2"/>
  <c r="L73" i="2"/>
  <c r="N73" i="2" s="1"/>
  <c r="B54" i="2"/>
  <c r="C54" i="2" s="1"/>
  <c r="D54" i="2" s="1"/>
  <c r="F54" i="2" s="1"/>
  <c r="H54" i="2" s="1"/>
  <c r="E54" i="2"/>
  <c r="G54" i="2"/>
  <c r="I54" i="2"/>
  <c r="J54" i="2" s="1"/>
  <c r="K54" i="2"/>
  <c r="B55" i="2"/>
  <c r="C55" i="2"/>
  <c r="D55" i="2"/>
  <c r="F55" i="2" s="1"/>
  <c r="H55" i="2" s="1"/>
  <c r="E55" i="2"/>
  <c r="G55" i="2"/>
  <c r="I55" i="2"/>
  <c r="J55" i="2" s="1"/>
  <c r="K55" i="2"/>
  <c r="B56" i="2"/>
  <c r="C56" i="2" s="1"/>
  <c r="D56" i="2" s="1"/>
  <c r="F56" i="2" s="1"/>
  <c r="E56" i="2"/>
  <c r="G56" i="2"/>
  <c r="I56" i="2"/>
  <c r="J56" i="2"/>
  <c r="K56" i="2"/>
  <c r="L56" i="2"/>
  <c r="B57" i="2"/>
  <c r="C57" i="2" s="1"/>
  <c r="D57" i="2" s="1"/>
  <c r="F57" i="2" s="1"/>
  <c r="H57" i="2" s="1"/>
  <c r="E57" i="2"/>
  <c r="G57" i="2"/>
  <c r="I57" i="2"/>
  <c r="J57" i="2"/>
  <c r="L57" i="2" s="1"/>
  <c r="N57" i="2" s="1"/>
  <c r="K57" i="2"/>
  <c r="B58" i="2"/>
  <c r="C58" i="2" s="1"/>
  <c r="D58" i="2" s="1"/>
  <c r="F58" i="2" s="1"/>
  <c r="E58" i="2"/>
  <c r="G58" i="2"/>
  <c r="I58" i="2"/>
  <c r="J58" i="2"/>
  <c r="K58" i="2"/>
  <c r="L58" i="2"/>
  <c r="B59" i="2"/>
  <c r="C59" i="2"/>
  <c r="D59" i="2" s="1"/>
  <c r="F59" i="2" s="1"/>
  <c r="H59" i="2" s="1"/>
  <c r="E59" i="2"/>
  <c r="G59" i="2"/>
  <c r="I59" i="2"/>
  <c r="J59" i="2" s="1"/>
  <c r="K59" i="2"/>
  <c r="B60" i="2"/>
  <c r="C60" i="2"/>
  <c r="D60" i="2" s="1"/>
  <c r="F60" i="2" s="1"/>
  <c r="H60" i="2" s="1"/>
  <c r="E60" i="2"/>
  <c r="G60" i="2"/>
  <c r="I60" i="2"/>
  <c r="J60" i="2"/>
  <c r="L60" i="2" s="1"/>
  <c r="K60" i="2"/>
  <c r="B61" i="2"/>
  <c r="C61" i="2"/>
  <c r="D61" i="2" s="1"/>
  <c r="F61" i="2" s="1"/>
  <c r="H61" i="2" s="1"/>
  <c r="E61" i="2"/>
  <c r="G61" i="2"/>
  <c r="I61" i="2"/>
  <c r="J61" i="2" s="1"/>
  <c r="K61" i="2"/>
  <c r="B62" i="2"/>
  <c r="C62" i="2" s="1"/>
  <c r="D62" i="2" s="1"/>
  <c r="F62" i="2" s="1"/>
  <c r="H62" i="2" s="1"/>
  <c r="E62" i="2"/>
  <c r="G62" i="2"/>
  <c r="I62" i="2"/>
  <c r="J62" i="2" s="1"/>
  <c r="K62" i="2"/>
  <c r="B63" i="2"/>
  <c r="C63" i="2"/>
  <c r="D63" i="2"/>
  <c r="F63" i="2" s="1"/>
  <c r="H63" i="2" s="1"/>
  <c r="E63" i="2"/>
  <c r="G63" i="2"/>
  <c r="I63" i="2"/>
  <c r="J63" i="2" s="1"/>
  <c r="K63" i="2"/>
  <c r="B44" i="2"/>
  <c r="C44" i="2"/>
  <c r="D44" i="2"/>
  <c r="E44" i="2"/>
  <c r="F44" i="2" s="1"/>
  <c r="H44" i="2" s="1"/>
  <c r="G44" i="2"/>
  <c r="I44" i="2"/>
  <c r="J44" i="2" s="1"/>
  <c r="K44" i="2"/>
  <c r="B45" i="2"/>
  <c r="C45" i="2" s="1"/>
  <c r="D45" i="2" s="1"/>
  <c r="F45" i="2" s="1"/>
  <c r="H45" i="2" s="1"/>
  <c r="E45" i="2"/>
  <c r="G45" i="2"/>
  <c r="I45" i="2"/>
  <c r="J45" i="2"/>
  <c r="K45" i="2"/>
  <c r="B46" i="2"/>
  <c r="C46" i="2"/>
  <c r="D46" i="2" s="1"/>
  <c r="F46" i="2" s="1"/>
  <c r="E46" i="2"/>
  <c r="G46" i="2"/>
  <c r="I46" i="2"/>
  <c r="J46" i="2"/>
  <c r="K46" i="2"/>
  <c r="L46" i="2" s="1"/>
  <c r="B47" i="2"/>
  <c r="C47" i="2" s="1"/>
  <c r="D47" i="2" s="1"/>
  <c r="F47" i="2" s="1"/>
  <c r="H47" i="2" s="1"/>
  <c r="E47" i="2"/>
  <c r="G47" i="2"/>
  <c r="I47" i="2"/>
  <c r="J47" i="2"/>
  <c r="L47" i="2" s="1"/>
  <c r="K47" i="2"/>
  <c r="B48" i="2"/>
  <c r="C48" i="2"/>
  <c r="D48" i="2" s="1"/>
  <c r="F48" i="2" s="1"/>
  <c r="H48" i="2" s="1"/>
  <c r="E48" i="2"/>
  <c r="G48" i="2"/>
  <c r="I48" i="2"/>
  <c r="J48" i="2" s="1"/>
  <c r="K48" i="2"/>
  <c r="B49" i="2"/>
  <c r="C49" i="2"/>
  <c r="D49" i="2"/>
  <c r="E49" i="2"/>
  <c r="F49" i="2"/>
  <c r="M49" i="2" s="1"/>
  <c r="G49" i="2"/>
  <c r="I49" i="2"/>
  <c r="J49" i="2"/>
  <c r="K49" i="2"/>
  <c r="L49" i="2"/>
  <c r="B50" i="2"/>
  <c r="C50" i="2"/>
  <c r="D50" i="2" s="1"/>
  <c r="F50" i="2" s="1"/>
  <c r="H50" i="2" s="1"/>
  <c r="E50" i="2"/>
  <c r="G50" i="2"/>
  <c r="I50" i="2"/>
  <c r="J50" i="2" s="1"/>
  <c r="K50" i="2"/>
  <c r="B51" i="2"/>
  <c r="C51" i="2" s="1"/>
  <c r="D51" i="2" s="1"/>
  <c r="F51" i="2" s="1"/>
  <c r="H51" i="2" s="1"/>
  <c r="E51" i="2"/>
  <c r="G51" i="2"/>
  <c r="I51" i="2"/>
  <c r="J51" i="2"/>
  <c r="M51" i="2" s="1"/>
  <c r="K51" i="2"/>
  <c r="L51" i="2"/>
  <c r="B52" i="2"/>
  <c r="C52" i="2"/>
  <c r="D52" i="2"/>
  <c r="E52" i="2"/>
  <c r="F52" i="2" s="1"/>
  <c r="H52" i="2" s="1"/>
  <c r="G52" i="2"/>
  <c r="I52" i="2"/>
  <c r="J52" i="2" s="1"/>
  <c r="K52" i="2"/>
  <c r="B53" i="2"/>
  <c r="C53" i="2" s="1"/>
  <c r="D53" i="2" s="1"/>
  <c r="F53" i="2" s="1"/>
  <c r="H53" i="2" s="1"/>
  <c r="E53" i="2"/>
  <c r="G53" i="2"/>
  <c r="I53" i="2"/>
  <c r="J53" i="2"/>
  <c r="K53" i="2"/>
  <c r="B36" i="2"/>
  <c r="C36" i="2" s="1"/>
  <c r="D36" i="2" s="1"/>
  <c r="F36" i="2" s="1"/>
  <c r="H36" i="2" s="1"/>
  <c r="E36" i="2"/>
  <c r="G36" i="2"/>
  <c r="I36" i="2"/>
  <c r="J36" i="2" s="1"/>
  <c r="K36" i="2"/>
  <c r="B37" i="2"/>
  <c r="C37" i="2"/>
  <c r="D37" i="2"/>
  <c r="F37" i="2" s="1"/>
  <c r="H37" i="2" s="1"/>
  <c r="E37" i="2"/>
  <c r="G37" i="2"/>
  <c r="I37" i="2"/>
  <c r="J37" i="2"/>
  <c r="K37" i="2"/>
  <c r="L37" i="2"/>
  <c r="B38" i="2"/>
  <c r="C38" i="2" s="1"/>
  <c r="D38" i="2" s="1"/>
  <c r="F38" i="2" s="1"/>
  <c r="E38" i="2"/>
  <c r="G38" i="2"/>
  <c r="I38" i="2"/>
  <c r="J38" i="2"/>
  <c r="K38" i="2"/>
  <c r="L38" i="2"/>
  <c r="B39" i="2"/>
  <c r="C39" i="2" s="1"/>
  <c r="D39" i="2" s="1"/>
  <c r="F39" i="2" s="1"/>
  <c r="H39" i="2" s="1"/>
  <c r="E39" i="2"/>
  <c r="G39" i="2"/>
  <c r="I39" i="2"/>
  <c r="J39" i="2"/>
  <c r="L39" i="2" s="1"/>
  <c r="K39" i="2"/>
  <c r="B40" i="2"/>
  <c r="C40" i="2"/>
  <c r="D40" i="2"/>
  <c r="F40" i="2" s="1"/>
  <c r="E40" i="2"/>
  <c r="G40" i="2"/>
  <c r="I40" i="2"/>
  <c r="J40" i="2"/>
  <c r="K40" i="2"/>
  <c r="L40" i="2"/>
  <c r="B41" i="2"/>
  <c r="C41" i="2" s="1"/>
  <c r="D41" i="2" s="1"/>
  <c r="F41" i="2" s="1"/>
  <c r="E41" i="2"/>
  <c r="G41" i="2"/>
  <c r="I41" i="2"/>
  <c r="J41" i="2"/>
  <c r="L41" i="2" s="1"/>
  <c r="K41" i="2"/>
  <c r="B42" i="2"/>
  <c r="C42" i="2"/>
  <c r="D42" i="2" s="1"/>
  <c r="F42" i="2" s="1"/>
  <c r="H42" i="2" s="1"/>
  <c r="E42" i="2"/>
  <c r="G42" i="2"/>
  <c r="I42" i="2"/>
  <c r="J42" i="2"/>
  <c r="L42" i="2" s="1"/>
  <c r="N42" i="2" s="1"/>
  <c r="K42" i="2"/>
  <c r="B43" i="2"/>
  <c r="C43" i="2"/>
  <c r="D43" i="2"/>
  <c r="E43" i="2"/>
  <c r="F43" i="2"/>
  <c r="H43" i="2" s="1"/>
  <c r="N43" i="2" s="1"/>
  <c r="G43" i="2"/>
  <c r="I43" i="2"/>
  <c r="J43" i="2"/>
  <c r="K43" i="2"/>
  <c r="L43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4" i="2"/>
  <c r="B33" i="2"/>
  <c r="C33" i="2" s="1"/>
  <c r="D33" i="2" s="1"/>
  <c r="F33" i="2" s="1"/>
  <c r="H33" i="2" s="1"/>
  <c r="E33" i="2"/>
  <c r="G33" i="2"/>
  <c r="I33" i="2"/>
  <c r="J33" i="2"/>
  <c r="L33" i="2" s="1"/>
  <c r="K33" i="2"/>
  <c r="B34" i="2"/>
  <c r="C34" i="2"/>
  <c r="D34" i="2" s="1"/>
  <c r="F34" i="2" s="1"/>
  <c r="H34" i="2" s="1"/>
  <c r="E34" i="2"/>
  <c r="G34" i="2"/>
  <c r="I34" i="2"/>
  <c r="J34" i="2"/>
  <c r="L34" i="2" s="1"/>
  <c r="K34" i="2"/>
  <c r="B35" i="2"/>
  <c r="C35" i="2" s="1"/>
  <c r="D35" i="2" s="1"/>
  <c r="F35" i="2" s="1"/>
  <c r="H35" i="2" s="1"/>
  <c r="E35" i="2"/>
  <c r="G35" i="2"/>
  <c r="I35" i="2"/>
  <c r="J35" i="2"/>
  <c r="L35" i="2" s="1"/>
  <c r="K35" i="2"/>
  <c r="B26" i="2"/>
  <c r="C26" i="2" s="1"/>
  <c r="D26" i="2" s="1"/>
  <c r="F26" i="2" s="1"/>
  <c r="H26" i="2" s="1"/>
  <c r="E26" i="2"/>
  <c r="G26" i="2"/>
  <c r="I26" i="2"/>
  <c r="J26" i="2" s="1"/>
  <c r="K26" i="2"/>
  <c r="B27" i="2"/>
  <c r="C27" i="2" s="1"/>
  <c r="D27" i="2" s="1"/>
  <c r="F27" i="2" s="1"/>
  <c r="H27" i="2" s="1"/>
  <c r="E27" i="2"/>
  <c r="G27" i="2"/>
  <c r="I27" i="2"/>
  <c r="J27" i="2" s="1"/>
  <c r="K27" i="2"/>
  <c r="B28" i="2"/>
  <c r="C28" i="2" s="1"/>
  <c r="D28" i="2" s="1"/>
  <c r="F28" i="2" s="1"/>
  <c r="H28" i="2" s="1"/>
  <c r="E28" i="2"/>
  <c r="G28" i="2"/>
  <c r="I28" i="2"/>
  <c r="J28" i="2" s="1"/>
  <c r="K28" i="2"/>
  <c r="B29" i="2"/>
  <c r="C29" i="2" s="1"/>
  <c r="D29" i="2" s="1"/>
  <c r="F29" i="2" s="1"/>
  <c r="H29" i="2" s="1"/>
  <c r="E29" i="2"/>
  <c r="G29" i="2"/>
  <c r="I29" i="2"/>
  <c r="J29" i="2" s="1"/>
  <c r="K29" i="2"/>
  <c r="B30" i="2"/>
  <c r="C30" i="2" s="1"/>
  <c r="D30" i="2" s="1"/>
  <c r="F30" i="2" s="1"/>
  <c r="H30" i="2" s="1"/>
  <c r="E30" i="2"/>
  <c r="G30" i="2"/>
  <c r="I30" i="2"/>
  <c r="J30" i="2" s="1"/>
  <c r="K30" i="2"/>
  <c r="B31" i="2"/>
  <c r="C31" i="2" s="1"/>
  <c r="D31" i="2" s="1"/>
  <c r="F31" i="2" s="1"/>
  <c r="H31" i="2" s="1"/>
  <c r="E31" i="2"/>
  <c r="G31" i="2"/>
  <c r="I31" i="2"/>
  <c r="J31" i="2" s="1"/>
  <c r="K31" i="2"/>
  <c r="B32" i="2"/>
  <c r="C32" i="2" s="1"/>
  <c r="D32" i="2" s="1"/>
  <c r="F32" i="2" s="1"/>
  <c r="H32" i="2" s="1"/>
  <c r="E32" i="2"/>
  <c r="G32" i="2"/>
  <c r="I32" i="2"/>
  <c r="J32" i="2" s="1"/>
  <c r="K32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B21" i="2"/>
  <c r="C21" i="2" s="1"/>
  <c r="D21" i="2" s="1"/>
  <c r="F21" i="2" s="1"/>
  <c r="E21" i="2"/>
  <c r="I21" i="2"/>
  <c r="J21" i="2" s="1"/>
  <c r="B22" i="2"/>
  <c r="C22" i="2" s="1"/>
  <c r="D22" i="2" s="1"/>
  <c r="E22" i="2"/>
  <c r="I22" i="2"/>
  <c r="J22" i="2" s="1"/>
  <c r="B23" i="2"/>
  <c r="C23" i="2"/>
  <c r="D23" i="2" s="1"/>
  <c r="E23" i="2"/>
  <c r="I23" i="2"/>
  <c r="J23" i="2" s="1"/>
  <c r="B24" i="2"/>
  <c r="C24" i="2" s="1"/>
  <c r="D24" i="2" s="1"/>
  <c r="E24" i="2"/>
  <c r="I24" i="2"/>
  <c r="J24" i="2" s="1"/>
  <c r="B25" i="2"/>
  <c r="C25" i="2" s="1"/>
  <c r="D25" i="2" s="1"/>
  <c r="E25" i="2"/>
  <c r="I25" i="2"/>
  <c r="J25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4" i="2"/>
  <c r="J4" i="2" s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4" i="2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B13" i="1"/>
  <c r="A13" i="1" s="1"/>
  <c r="B15" i="1"/>
  <c r="B12" i="1" s="1"/>
  <c r="B16" i="1"/>
  <c r="A16" i="1" s="1"/>
  <c r="B17" i="1"/>
  <c r="A17" i="1" s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B5" i="2"/>
  <c r="C5" i="2" s="1"/>
  <c r="D5" i="2" s="1"/>
  <c r="B6" i="2"/>
  <c r="C6" i="2" s="1"/>
  <c r="D6" i="2" s="1"/>
  <c r="B7" i="2"/>
  <c r="C7" i="2" s="1"/>
  <c r="D7" i="2" s="1"/>
  <c r="B8" i="2"/>
  <c r="C8" i="2" s="1"/>
  <c r="D8" i="2" s="1"/>
  <c r="B9" i="2"/>
  <c r="C9" i="2" s="1"/>
  <c r="D9" i="2" s="1"/>
  <c r="B10" i="2"/>
  <c r="C10" i="2" s="1"/>
  <c r="D10" i="2" s="1"/>
  <c r="B11" i="2"/>
  <c r="C11" i="2" s="1"/>
  <c r="D11" i="2" s="1"/>
  <c r="B12" i="2"/>
  <c r="C12" i="2" s="1"/>
  <c r="D12" i="2" s="1"/>
  <c r="B13" i="2"/>
  <c r="C13" i="2" s="1"/>
  <c r="D13" i="2" s="1"/>
  <c r="B14" i="2"/>
  <c r="C14" i="2" s="1"/>
  <c r="D14" i="2" s="1"/>
  <c r="B15" i="2"/>
  <c r="C15" i="2" s="1"/>
  <c r="D15" i="2" s="1"/>
  <c r="B16" i="2"/>
  <c r="C16" i="2" s="1"/>
  <c r="D16" i="2" s="1"/>
  <c r="B17" i="2"/>
  <c r="C17" i="2" s="1"/>
  <c r="D17" i="2" s="1"/>
  <c r="B18" i="2"/>
  <c r="C18" i="2" s="1"/>
  <c r="D18" i="2" s="1"/>
  <c r="B19" i="2"/>
  <c r="C19" i="2" s="1"/>
  <c r="D19" i="2" s="1"/>
  <c r="B20" i="2"/>
  <c r="C20" i="2" s="1"/>
  <c r="D20" i="2" s="1"/>
  <c r="B4" i="2"/>
  <c r="C4" i="2" s="1"/>
  <c r="D4" i="2" s="1"/>
  <c r="A49" i="1"/>
  <c r="U49" i="1" s="1"/>
  <c r="A50" i="1"/>
  <c r="U50" i="1" s="1"/>
  <c r="G1" i="1"/>
  <c r="G49" i="1" s="1"/>
  <c r="B42" i="1"/>
  <c r="B39" i="1" s="1"/>
  <c r="B36" i="1" s="1"/>
  <c r="B33" i="1" s="1"/>
  <c r="B30" i="1" s="1"/>
  <c r="B27" i="1" s="1"/>
  <c r="B24" i="1" s="1"/>
  <c r="B21" i="1" s="1"/>
  <c r="B18" i="1" s="1"/>
  <c r="B43" i="1"/>
  <c r="B40" i="1" s="1"/>
  <c r="B37" i="1" s="1"/>
  <c r="B34" i="1" s="1"/>
  <c r="B31" i="1" s="1"/>
  <c r="B28" i="1" s="1"/>
  <c r="B25" i="1" s="1"/>
  <c r="B22" i="1" s="1"/>
  <c r="B19" i="1" s="1"/>
  <c r="B44" i="1"/>
  <c r="B41" i="1" s="1"/>
  <c r="B38" i="1" s="1"/>
  <c r="B35" i="1" s="1"/>
  <c r="B32" i="1" s="1"/>
  <c r="B29" i="1" s="1"/>
  <c r="B26" i="1" s="1"/>
  <c r="B23" i="1" s="1"/>
  <c r="B20" i="1" s="1"/>
  <c r="A45" i="1"/>
  <c r="X45" i="1" s="1"/>
  <c r="A46" i="1"/>
  <c r="U46" i="1" s="1"/>
  <c r="A47" i="1"/>
  <c r="A48" i="1"/>
  <c r="AC48" i="1" s="1"/>
  <c r="B2" i="1"/>
  <c r="D1" i="1"/>
  <c r="D48" i="1" s="1"/>
  <c r="E1" i="1"/>
  <c r="E49" i="1" s="1"/>
  <c r="F1" i="1"/>
  <c r="C1" i="1"/>
  <c r="L259" i="2" l="1"/>
  <c r="N259" i="2" s="1"/>
  <c r="M259" i="2"/>
  <c r="M256" i="2"/>
  <c r="H256" i="2"/>
  <c r="N256" i="2"/>
  <c r="L255" i="2"/>
  <c r="N255" i="2" s="1"/>
  <c r="M255" i="2"/>
  <c r="M257" i="2"/>
  <c r="M258" i="2"/>
  <c r="M254" i="2"/>
  <c r="L254" i="2"/>
  <c r="N254" i="2" s="1"/>
  <c r="N251" i="2"/>
  <c r="L250" i="2"/>
  <c r="N250" i="2" s="1"/>
  <c r="M250" i="2"/>
  <c r="L252" i="2"/>
  <c r="N252" i="2" s="1"/>
  <c r="M252" i="2"/>
  <c r="M253" i="2"/>
  <c r="L244" i="2"/>
  <c r="N244" i="2" s="1"/>
  <c r="M244" i="2"/>
  <c r="M245" i="2"/>
  <c r="H248" i="2"/>
  <c r="M248" i="2"/>
  <c r="L246" i="2"/>
  <c r="N246" i="2" s="1"/>
  <c r="M246" i="2"/>
  <c r="N241" i="2"/>
  <c r="L236" i="2"/>
  <c r="N236" i="2" s="1"/>
  <c r="M236" i="2"/>
  <c r="L243" i="2"/>
  <c r="N243" i="2" s="1"/>
  <c r="M243" i="2"/>
  <c r="L242" i="2"/>
  <c r="N242" i="2" s="1"/>
  <c r="M242" i="2"/>
  <c r="H240" i="2"/>
  <c r="N240" i="2" s="1"/>
  <c r="M240" i="2"/>
  <c r="N248" i="2"/>
  <c r="M238" i="2"/>
  <c r="M249" i="2"/>
  <c r="M241" i="2"/>
  <c r="M247" i="2"/>
  <c r="M239" i="2"/>
  <c r="L230" i="2"/>
  <c r="N230" i="2" s="1"/>
  <c r="M230" i="2"/>
  <c r="H229" i="2"/>
  <c r="M229" i="2"/>
  <c r="H234" i="2"/>
  <c r="N234" i="2" s="1"/>
  <c r="M234" i="2"/>
  <c r="H227" i="2"/>
  <c r="N227" i="2" s="1"/>
  <c r="M227" i="2"/>
  <c r="L222" i="2"/>
  <c r="N222" i="2" s="1"/>
  <c r="M222" i="2"/>
  <c r="M231" i="2"/>
  <c r="L231" i="2"/>
  <c r="N231" i="2" s="1"/>
  <c r="L235" i="2"/>
  <c r="N235" i="2" s="1"/>
  <c r="M235" i="2"/>
  <c r="N225" i="2"/>
  <c r="M223" i="2"/>
  <c r="L223" i="2"/>
  <c r="N223" i="2" s="1"/>
  <c r="N229" i="2"/>
  <c r="N228" i="2"/>
  <c r="H226" i="2"/>
  <c r="N226" i="2" s="1"/>
  <c r="M226" i="2"/>
  <c r="M232" i="2"/>
  <c r="M224" i="2"/>
  <c r="M233" i="2"/>
  <c r="M225" i="2"/>
  <c r="M228" i="2"/>
  <c r="M219" i="2"/>
  <c r="L219" i="2"/>
  <c r="N219" i="2" s="1"/>
  <c r="L216" i="2"/>
  <c r="N216" i="2" s="1"/>
  <c r="M216" i="2"/>
  <c r="L212" i="2"/>
  <c r="N212" i="2" s="1"/>
  <c r="M212" i="2"/>
  <c r="L220" i="2"/>
  <c r="N220" i="2" s="1"/>
  <c r="M220" i="2"/>
  <c r="N213" i="2"/>
  <c r="L210" i="2"/>
  <c r="N210" i="2" s="1"/>
  <c r="M210" i="2"/>
  <c r="N221" i="2"/>
  <c r="L218" i="2"/>
  <c r="N218" i="2" s="1"/>
  <c r="M218" i="2"/>
  <c r="M214" i="2"/>
  <c r="L214" i="2"/>
  <c r="N214" i="2" s="1"/>
  <c r="M211" i="2"/>
  <c r="L211" i="2"/>
  <c r="N211" i="2" s="1"/>
  <c r="N215" i="2"/>
  <c r="M217" i="2"/>
  <c r="M215" i="2"/>
  <c r="M221" i="2"/>
  <c r="M213" i="2"/>
  <c r="H208" i="2"/>
  <c r="M208" i="2"/>
  <c r="N200" i="2"/>
  <c r="L204" i="2"/>
  <c r="N204" i="2" s="1"/>
  <c r="M204" i="2"/>
  <c r="M205" i="2"/>
  <c r="L201" i="2"/>
  <c r="N201" i="2" s="1"/>
  <c r="M201" i="2"/>
  <c r="H198" i="2"/>
  <c r="N198" i="2" s="1"/>
  <c r="M198" i="2"/>
  <c r="N207" i="2"/>
  <c r="N197" i="2"/>
  <c r="L196" i="2"/>
  <c r="N196" i="2" s="1"/>
  <c r="M196" i="2"/>
  <c r="N208" i="2"/>
  <c r="L203" i="2"/>
  <c r="N203" i="2" s="1"/>
  <c r="M203" i="2"/>
  <c r="L202" i="2"/>
  <c r="N202" i="2" s="1"/>
  <c r="M202" i="2"/>
  <c r="H200" i="2"/>
  <c r="M200" i="2"/>
  <c r="L209" i="2"/>
  <c r="N209" i="2" s="1"/>
  <c r="M209" i="2"/>
  <c r="H206" i="2"/>
  <c r="N206" i="2" s="1"/>
  <c r="M206" i="2"/>
  <c r="M207" i="2"/>
  <c r="M199" i="2"/>
  <c r="L190" i="2"/>
  <c r="N190" i="2" s="1"/>
  <c r="M190" i="2"/>
  <c r="H187" i="2"/>
  <c r="M187" i="2"/>
  <c r="N185" i="2"/>
  <c r="N189" i="2"/>
  <c r="L191" i="2"/>
  <c r="N191" i="2" s="1"/>
  <c r="M191" i="2"/>
  <c r="H188" i="2"/>
  <c r="N188" i="2" s="1"/>
  <c r="M188" i="2"/>
  <c r="L192" i="2"/>
  <c r="N192" i="2" s="1"/>
  <c r="M192" i="2"/>
  <c r="H189" i="2"/>
  <c r="M189" i="2"/>
  <c r="M186" i="2"/>
  <c r="H195" i="2"/>
  <c r="N195" i="2" s="1"/>
  <c r="M195" i="2"/>
  <c r="N187" i="2"/>
  <c r="L194" i="2"/>
  <c r="N194" i="2" s="1"/>
  <c r="L186" i="2"/>
  <c r="N186" i="2" s="1"/>
  <c r="M193" i="2"/>
  <c r="M185" i="2"/>
  <c r="M180" i="2"/>
  <c r="L180" i="2"/>
  <c r="N180" i="2" s="1"/>
  <c r="N184" i="2"/>
  <c r="L177" i="2"/>
  <c r="N177" i="2" s="1"/>
  <c r="M177" i="2"/>
  <c r="L181" i="2"/>
  <c r="N181" i="2" s="1"/>
  <c r="M181" i="2"/>
  <c r="N174" i="2"/>
  <c r="L173" i="2"/>
  <c r="N173" i="2" s="1"/>
  <c r="M173" i="2"/>
  <c r="N178" i="2"/>
  <c r="L171" i="2"/>
  <c r="N171" i="2" s="1"/>
  <c r="M171" i="2"/>
  <c r="N182" i="2"/>
  <c r="L179" i="2"/>
  <c r="N179" i="2" s="1"/>
  <c r="M179" i="2"/>
  <c r="M175" i="2"/>
  <c r="L175" i="2"/>
  <c r="N175" i="2" s="1"/>
  <c r="L183" i="2"/>
  <c r="N183" i="2" s="1"/>
  <c r="M183" i="2"/>
  <c r="M172" i="2"/>
  <c r="L172" i="2"/>
  <c r="N172" i="2" s="1"/>
  <c r="M178" i="2"/>
  <c r="M184" i="2"/>
  <c r="M176" i="2"/>
  <c r="M182" i="2"/>
  <c r="M174" i="2"/>
  <c r="L157" i="2"/>
  <c r="N157" i="2" s="1"/>
  <c r="M157" i="2"/>
  <c r="N166" i="2"/>
  <c r="L169" i="2"/>
  <c r="N169" i="2" s="1"/>
  <c r="M169" i="2"/>
  <c r="N160" i="2"/>
  <c r="H167" i="2"/>
  <c r="N167" i="2" s="1"/>
  <c r="M167" i="2"/>
  <c r="M166" i="2"/>
  <c r="L165" i="2"/>
  <c r="N165" i="2" s="1"/>
  <c r="M165" i="2"/>
  <c r="L161" i="2"/>
  <c r="N161" i="2" s="1"/>
  <c r="M161" i="2"/>
  <c r="M164" i="2"/>
  <c r="H164" i="2"/>
  <c r="N164" i="2" s="1"/>
  <c r="H159" i="2"/>
  <c r="N159" i="2" s="1"/>
  <c r="M159" i="2"/>
  <c r="N168" i="2"/>
  <c r="M168" i="2"/>
  <c r="M160" i="2"/>
  <c r="M163" i="2"/>
  <c r="L156" i="2"/>
  <c r="N156" i="2" s="1"/>
  <c r="M156" i="2"/>
  <c r="L152" i="2"/>
  <c r="N152" i="2" s="1"/>
  <c r="M152" i="2"/>
  <c r="N149" i="2"/>
  <c r="L148" i="2"/>
  <c r="N148" i="2" s="1"/>
  <c r="M148" i="2"/>
  <c r="N153" i="2"/>
  <c r="M149" i="2"/>
  <c r="L154" i="2"/>
  <c r="N154" i="2" s="1"/>
  <c r="M154" i="2"/>
  <c r="L150" i="2"/>
  <c r="N150" i="2" s="1"/>
  <c r="M150" i="2"/>
  <c r="M155" i="2"/>
  <c r="M153" i="2"/>
  <c r="M151" i="2"/>
  <c r="L142" i="2"/>
  <c r="N142" i="2" s="1"/>
  <c r="M142" i="2"/>
  <c r="M145" i="2"/>
  <c r="L145" i="2"/>
  <c r="N145" i="2" s="1"/>
  <c r="L138" i="2"/>
  <c r="N138" i="2" s="1"/>
  <c r="M138" i="2"/>
  <c r="L146" i="2"/>
  <c r="N146" i="2" s="1"/>
  <c r="M146" i="2"/>
  <c r="N139" i="2"/>
  <c r="L136" i="2"/>
  <c r="N136" i="2" s="1"/>
  <c r="M136" i="2"/>
  <c r="N147" i="2"/>
  <c r="L144" i="2"/>
  <c r="N144" i="2" s="1"/>
  <c r="M144" i="2"/>
  <c r="M140" i="2"/>
  <c r="L140" i="2"/>
  <c r="N140" i="2" s="1"/>
  <c r="M137" i="2"/>
  <c r="L137" i="2"/>
  <c r="N137" i="2" s="1"/>
  <c r="N141" i="2"/>
  <c r="M143" i="2"/>
  <c r="M141" i="2"/>
  <c r="M147" i="2"/>
  <c r="M139" i="2"/>
  <c r="N130" i="2"/>
  <c r="N131" i="2"/>
  <c r="M130" i="2"/>
  <c r="L129" i="2"/>
  <c r="N129" i="2" s="1"/>
  <c r="M129" i="2"/>
  <c r="M134" i="2"/>
  <c r="H134" i="2"/>
  <c r="N134" i="2" s="1"/>
  <c r="N132" i="2"/>
  <c r="H131" i="2"/>
  <c r="M131" i="2"/>
  <c r="M133" i="2"/>
  <c r="L133" i="2"/>
  <c r="N133" i="2" s="1"/>
  <c r="M132" i="2"/>
  <c r="M135" i="2"/>
  <c r="M123" i="2"/>
  <c r="H123" i="2"/>
  <c r="M126" i="2"/>
  <c r="L126" i="2"/>
  <c r="N126" i="2" s="1"/>
  <c r="N123" i="2"/>
  <c r="L122" i="2"/>
  <c r="N122" i="2" s="1"/>
  <c r="M122" i="2"/>
  <c r="N127" i="2"/>
  <c r="L128" i="2"/>
  <c r="N128" i="2" s="1"/>
  <c r="M128" i="2"/>
  <c r="L124" i="2"/>
  <c r="N124" i="2" s="1"/>
  <c r="M124" i="2"/>
  <c r="M127" i="2"/>
  <c r="M125" i="2"/>
  <c r="L118" i="2"/>
  <c r="N118" i="2" s="1"/>
  <c r="M118" i="2"/>
  <c r="M119" i="2"/>
  <c r="L119" i="2"/>
  <c r="N119" i="2" s="1"/>
  <c r="L115" i="2"/>
  <c r="N115" i="2" s="1"/>
  <c r="M115" i="2"/>
  <c r="H112" i="2"/>
  <c r="N112" i="2" s="1"/>
  <c r="M112" i="2"/>
  <c r="M120" i="2"/>
  <c r="N116" i="2"/>
  <c r="L110" i="2"/>
  <c r="N110" i="2" s="1"/>
  <c r="M110" i="2"/>
  <c r="N114" i="2"/>
  <c r="N121" i="2"/>
  <c r="M111" i="2"/>
  <c r="L111" i="2"/>
  <c r="N111" i="2" s="1"/>
  <c r="M117" i="2"/>
  <c r="L117" i="2"/>
  <c r="N117" i="2" s="1"/>
  <c r="M114" i="2"/>
  <c r="H114" i="2"/>
  <c r="M121" i="2"/>
  <c r="M113" i="2"/>
  <c r="M116" i="2"/>
  <c r="L106" i="2"/>
  <c r="N106" i="2" s="1"/>
  <c r="M106" i="2"/>
  <c r="N105" i="2"/>
  <c r="H103" i="2"/>
  <c r="M103" i="2"/>
  <c r="L109" i="2"/>
  <c r="N109" i="2" s="1"/>
  <c r="M109" i="2"/>
  <c r="L107" i="2"/>
  <c r="N107" i="2" s="1"/>
  <c r="M107" i="2"/>
  <c r="H105" i="2"/>
  <c r="M105" i="2"/>
  <c r="N103" i="2"/>
  <c r="L101" i="2"/>
  <c r="N101" i="2" s="1"/>
  <c r="M101" i="2"/>
  <c r="M102" i="2"/>
  <c r="L102" i="2"/>
  <c r="N102" i="2" s="1"/>
  <c r="M104" i="2"/>
  <c r="N100" i="2"/>
  <c r="L99" i="2"/>
  <c r="N99" i="2" s="1"/>
  <c r="M99" i="2"/>
  <c r="M95" i="2"/>
  <c r="L95" i="2"/>
  <c r="N95" i="2" s="1"/>
  <c r="L91" i="2"/>
  <c r="N91" i="2" s="1"/>
  <c r="M91" i="2"/>
  <c r="M100" i="2"/>
  <c r="N96" i="2"/>
  <c r="M92" i="2"/>
  <c r="L97" i="2"/>
  <c r="N97" i="2" s="1"/>
  <c r="M97" i="2"/>
  <c r="L93" i="2"/>
  <c r="N93" i="2" s="1"/>
  <c r="M93" i="2"/>
  <c r="M98" i="2"/>
  <c r="M96" i="2"/>
  <c r="M94" i="2"/>
  <c r="L85" i="2"/>
  <c r="N85" i="2" s="1"/>
  <c r="M85" i="2"/>
  <c r="M89" i="2"/>
  <c r="H89" i="2"/>
  <c r="L83" i="2"/>
  <c r="N83" i="2" s="1"/>
  <c r="M83" i="2"/>
  <c r="M87" i="2"/>
  <c r="L87" i="2"/>
  <c r="N87" i="2" s="1"/>
  <c r="N89" i="2"/>
  <c r="M84" i="2"/>
  <c r="L84" i="2"/>
  <c r="N84" i="2" s="1"/>
  <c r="L88" i="2"/>
  <c r="N88" i="2" s="1"/>
  <c r="M88" i="2"/>
  <c r="M90" i="2"/>
  <c r="M86" i="2"/>
  <c r="N80" i="2"/>
  <c r="L74" i="2"/>
  <c r="N74" i="2" s="1"/>
  <c r="M74" i="2"/>
  <c r="L82" i="2"/>
  <c r="N82" i="2" s="1"/>
  <c r="M82" i="2"/>
  <c r="M76" i="2"/>
  <c r="L76" i="2"/>
  <c r="N76" i="2" s="1"/>
  <c r="H79" i="2"/>
  <c r="N79" i="2" s="1"/>
  <c r="M79" i="2"/>
  <c r="N77" i="2"/>
  <c r="H81" i="2"/>
  <c r="N81" i="2" s="1"/>
  <c r="M81" i="2"/>
  <c r="L78" i="2"/>
  <c r="N78" i="2" s="1"/>
  <c r="M78" i="2"/>
  <c r="M77" i="2"/>
  <c r="M80" i="2"/>
  <c r="L72" i="2"/>
  <c r="N72" i="2" s="1"/>
  <c r="M72" i="2"/>
  <c r="N67" i="2"/>
  <c r="N68" i="2"/>
  <c r="H66" i="2"/>
  <c r="M66" i="2"/>
  <c r="L64" i="2"/>
  <c r="N64" i="2" s="1"/>
  <c r="M64" i="2"/>
  <c r="L69" i="2"/>
  <c r="N69" i="2" s="1"/>
  <c r="M69" i="2"/>
  <c r="H68" i="2"/>
  <c r="M68" i="2"/>
  <c r="N66" i="2"/>
  <c r="M65" i="2"/>
  <c r="L70" i="2"/>
  <c r="N70" i="2" s="1"/>
  <c r="M70" i="2"/>
  <c r="L65" i="2"/>
  <c r="N65" i="2" s="1"/>
  <c r="M67" i="2"/>
  <c r="L62" i="2"/>
  <c r="N62" i="2" s="1"/>
  <c r="M62" i="2"/>
  <c r="M63" i="2"/>
  <c r="L63" i="2"/>
  <c r="N63" i="2" s="1"/>
  <c r="L59" i="2"/>
  <c r="N59" i="2" s="1"/>
  <c r="M59" i="2"/>
  <c r="H56" i="2"/>
  <c r="N56" i="2" s="1"/>
  <c r="M56" i="2"/>
  <c r="M55" i="2"/>
  <c r="L55" i="2"/>
  <c r="N55" i="2" s="1"/>
  <c r="L54" i="2"/>
  <c r="N54" i="2" s="1"/>
  <c r="M54" i="2"/>
  <c r="M61" i="2"/>
  <c r="L61" i="2"/>
  <c r="N61" i="2" s="1"/>
  <c r="H58" i="2"/>
  <c r="N58" i="2" s="1"/>
  <c r="M58" i="2"/>
  <c r="N60" i="2"/>
  <c r="M57" i="2"/>
  <c r="M60" i="2"/>
  <c r="N51" i="2"/>
  <c r="L50" i="2"/>
  <c r="N50" i="2" s="1"/>
  <c r="M50" i="2"/>
  <c r="L48" i="2"/>
  <c r="N48" i="2" s="1"/>
  <c r="M48" i="2"/>
  <c r="H46" i="2"/>
  <c r="M46" i="2"/>
  <c r="L44" i="2"/>
  <c r="N44" i="2" s="1"/>
  <c r="M44" i="2"/>
  <c r="N46" i="2"/>
  <c r="M45" i="2"/>
  <c r="L52" i="2"/>
  <c r="N52" i="2" s="1"/>
  <c r="M52" i="2"/>
  <c r="M53" i="2"/>
  <c r="N47" i="2"/>
  <c r="L45" i="2"/>
  <c r="N45" i="2" s="1"/>
  <c r="L53" i="2"/>
  <c r="N53" i="2" s="1"/>
  <c r="H49" i="2"/>
  <c r="N49" i="2" s="1"/>
  <c r="M47" i="2"/>
  <c r="H38" i="2"/>
  <c r="N38" i="2" s="1"/>
  <c r="M38" i="2"/>
  <c r="M40" i="2"/>
  <c r="H40" i="2"/>
  <c r="N40" i="2" s="1"/>
  <c r="M41" i="2"/>
  <c r="H41" i="2"/>
  <c r="N41" i="2" s="1"/>
  <c r="N37" i="2"/>
  <c r="M37" i="2"/>
  <c r="L36" i="2"/>
  <c r="N36" i="2" s="1"/>
  <c r="M36" i="2"/>
  <c r="N39" i="2"/>
  <c r="M43" i="2"/>
  <c r="M39" i="2"/>
  <c r="M42" i="2"/>
  <c r="M34" i="2"/>
  <c r="M35" i="2"/>
  <c r="M33" i="2"/>
  <c r="L27" i="2"/>
  <c r="M27" i="2"/>
  <c r="L30" i="2"/>
  <c r="M30" i="2"/>
  <c r="L28" i="2"/>
  <c r="M28" i="2"/>
  <c r="L26" i="2"/>
  <c r="M26" i="2"/>
  <c r="M31" i="2"/>
  <c r="L31" i="2"/>
  <c r="M29" i="2"/>
  <c r="L29" i="2"/>
  <c r="L32" i="2"/>
  <c r="M32" i="2"/>
  <c r="F18" i="2"/>
  <c r="M18" i="2" s="1"/>
  <c r="F17" i="2"/>
  <c r="M17" i="2" s="1"/>
  <c r="F9" i="2"/>
  <c r="F8" i="2"/>
  <c r="F25" i="2"/>
  <c r="M25" i="2" s="1"/>
  <c r="F10" i="2"/>
  <c r="M10" i="2" s="1"/>
  <c r="F16" i="2"/>
  <c r="M16" i="2" s="1"/>
  <c r="F22" i="2"/>
  <c r="M22" i="2" s="1"/>
  <c r="F4" i="2"/>
  <c r="F20" i="2"/>
  <c r="M20" i="2" s="1"/>
  <c r="F12" i="2"/>
  <c r="M12" i="2" s="1"/>
  <c r="F5" i="2"/>
  <c r="F19" i="2"/>
  <c r="M19" i="2" s="1"/>
  <c r="F11" i="2"/>
  <c r="M11" i="2" s="1"/>
  <c r="M9" i="2"/>
  <c r="F13" i="2"/>
  <c r="M13" i="2" s="1"/>
  <c r="F14" i="2"/>
  <c r="M14" i="2" s="1"/>
  <c r="F6" i="2"/>
  <c r="M5" i="2"/>
  <c r="M21" i="2"/>
  <c r="F15" i="2"/>
  <c r="M15" i="2" s="1"/>
  <c r="F7" i="2"/>
  <c r="M7" i="2" s="1"/>
  <c r="M4" i="2"/>
  <c r="M6" i="2"/>
  <c r="M8" i="2"/>
  <c r="F24" i="2"/>
  <c r="M24" i="2" s="1"/>
  <c r="F23" i="2"/>
  <c r="M23" i="2" s="1"/>
  <c r="A12" i="1"/>
  <c r="B9" i="1"/>
  <c r="A15" i="1"/>
  <c r="B14" i="1"/>
  <c r="B10" i="1"/>
  <c r="W47" i="1"/>
  <c r="AB50" i="1"/>
  <c r="AE45" i="1"/>
  <c r="AD48" i="1"/>
  <c r="Y45" i="1"/>
  <c r="W45" i="1"/>
  <c r="AF45" i="1"/>
  <c r="T46" i="1"/>
  <c r="Z45" i="1"/>
  <c r="AB46" i="1"/>
  <c r="AF49" i="1"/>
  <c r="AF47" i="1"/>
  <c r="T48" i="1"/>
  <c r="AE49" i="1"/>
  <c r="AC47" i="1"/>
  <c r="X49" i="1"/>
  <c r="T50" i="1"/>
  <c r="AD47" i="1"/>
  <c r="AG49" i="1"/>
  <c r="AB49" i="1"/>
  <c r="T45" i="1"/>
  <c r="W49" i="1"/>
  <c r="AB47" i="1"/>
  <c r="W48" i="1"/>
  <c r="F48" i="1"/>
  <c r="AF48" i="1"/>
  <c r="AD50" i="1"/>
  <c r="AE48" i="1"/>
  <c r="U48" i="1"/>
  <c r="X48" i="1"/>
  <c r="A44" i="1"/>
  <c r="X44" i="1" s="1"/>
  <c r="AG45" i="1"/>
  <c r="Z49" i="1"/>
  <c r="Y49" i="1"/>
  <c r="X47" i="1"/>
  <c r="V50" i="1"/>
  <c r="V47" i="1"/>
  <c r="AB45" i="1"/>
  <c r="V48" i="1"/>
  <c r="U47" i="1"/>
  <c r="T49" i="1"/>
  <c r="T47" i="1"/>
  <c r="AA46" i="1"/>
  <c r="Z46" i="1"/>
  <c r="AA47" i="1"/>
  <c r="AA50" i="1"/>
  <c r="AG50" i="1"/>
  <c r="AF50" i="1"/>
  <c r="X50" i="1"/>
  <c r="AD49" i="1"/>
  <c r="V49" i="1"/>
  <c r="AB48" i="1"/>
  <c r="Z47" i="1"/>
  <c r="AF46" i="1"/>
  <c r="X46" i="1"/>
  <c r="AD45" i="1"/>
  <c r="V45" i="1"/>
  <c r="Z50" i="1"/>
  <c r="Y50" i="1"/>
  <c r="AG46" i="1"/>
  <c r="Y46" i="1"/>
  <c r="AE50" i="1"/>
  <c r="W50" i="1"/>
  <c r="AC49" i="1"/>
  <c r="AA48" i="1"/>
  <c r="AG47" i="1"/>
  <c r="Y47" i="1"/>
  <c r="AE46" i="1"/>
  <c r="W46" i="1"/>
  <c r="AC45" i="1"/>
  <c r="U45" i="1"/>
  <c r="Z48" i="1"/>
  <c r="AD46" i="1"/>
  <c r="V46" i="1"/>
  <c r="C49" i="1"/>
  <c r="AC50" i="1"/>
  <c r="AA49" i="1"/>
  <c r="AG48" i="1"/>
  <c r="Y48" i="1"/>
  <c r="AE47" i="1"/>
  <c r="AC46" i="1"/>
  <c r="AA45" i="1"/>
  <c r="G48" i="1"/>
  <c r="D46" i="1"/>
  <c r="D50" i="1"/>
  <c r="F49" i="1"/>
  <c r="C50" i="1"/>
  <c r="F50" i="1"/>
  <c r="D49" i="1"/>
  <c r="E50" i="1"/>
  <c r="G50" i="1"/>
  <c r="H1" i="1"/>
  <c r="H50" i="1" s="1"/>
  <c r="E46" i="1"/>
  <c r="E48" i="1"/>
  <c r="F46" i="1"/>
  <c r="C46" i="1"/>
  <c r="D45" i="1"/>
  <c r="C45" i="1"/>
  <c r="G47" i="1"/>
  <c r="F47" i="1"/>
  <c r="E47" i="1"/>
  <c r="D47" i="1"/>
  <c r="C48" i="1"/>
  <c r="C47" i="1"/>
  <c r="G45" i="1"/>
  <c r="F45" i="1"/>
  <c r="G46" i="1"/>
  <c r="E45" i="1"/>
  <c r="A9" i="1" l="1"/>
  <c r="B6" i="1"/>
  <c r="A10" i="1"/>
  <c r="B7" i="1"/>
  <c r="B11" i="1"/>
  <c r="A14" i="1"/>
  <c r="F44" i="1"/>
  <c r="AF44" i="1"/>
  <c r="G44" i="1"/>
  <c r="W44" i="1"/>
  <c r="Z44" i="1"/>
  <c r="AD44" i="1"/>
  <c r="C44" i="1"/>
  <c r="E44" i="1"/>
  <c r="AA44" i="1"/>
  <c r="U44" i="1"/>
  <c r="AE44" i="1"/>
  <c r="D44" i="1"/>
  <c r="AB44" i="1"/>
  <c r="T44" i="1"/>
  <c r="Y44" i="1"/>
  <c r="AC44" i="1"/>
  <c r="AG44" i="1"/>
  <c r="V44" i="1"/>
  <c r="H48" i="1"/>
  <c r="H49" i="1"/>
  <c r="H44" i="1"/>
  <c r="H47" i="1"/>
  <c r="H46" i="1"/>
  <c r="H45" i="1"/>
  <c r="J1" i="1"/>
  <c r="I1" i="1"/>
  <c r="A42" i="1"/>
  <c r="A43" i="1"/>
  <c r="B4" i="1" l="1"/>
  <c r="A4" i="1" s="1"/>
  <c r="A7" i="1"/>
  <c r="B8" i="1"/>
  <c r="A11" i="1"/>
  <c r="B3" i="1"/>
  <c r="A3" i="1" s="1"/>
  <c r="A6" i="1"/>
  <c r="W43" i="1"/>
  <c r="AE43" i="1"/>
  <c r="X43" i="1"/>
  <c r="AF43" i="1"/>
  <c r="T43" i="1"/>
  <c r="AC43" i="1"/>
  <c r="U43" i="1"/>
  <c r="AB43" i="1"/>
  <c r="AD43" i="1"/>
  <c r="V43" i="1"/>
  <c r="AG43" i="1"/>
  <c r="Y43" i="1"/>
  <c r="AA43" i="1"/>
  <c r="Z43" i="1"/>
  <c r="U42" i="1"/>
  <c r="AC42" i="1"/>
  <c r="V42" i="1"/>
  <c r="AD42" i="1"/>
  <c r="W42" i="1"/>
  <c r="AE42" i="1"/>
  <c r="T42" i="1"/>
  <c r="AB42" i="1"/>
  <c r="X42" i="1"/>
  <c r="Z42" i="1"/>
  <c r="AF42" i="1"/>
  <c r="AA42" i="1"/>
  <c r="Y42" i="1"/>
  <c r="AG42" i="1"/>
  <c r="I49" i="1"/>
  <c r="I50" i="1"/>
  <c r="J49" i="1"/>
  <c r="J50" i="1"/>
  <c r="L1" i="1"/>
  <c r="J48" i="1"/>
  <c r="J47" i="1"/>
  <c r="J44" i="1"/>
  <c r="J45" i="1"/>
  <c r="J46" i="1"/>
  <c r="I48" i="1"/>
  <c r="I44" i="1"/>
  <c r="I45" i="1"/>
  <c r="I47" i="1"/>
  <c r="I46" i="1"/>
  <c r="K1" i="1"/>
  <c r="H43" i="1"/>
  <c r="E43" i="1"/>
  <c r="I43" i="1"/>
  <c r="D43" i="1"/>
  <c r="G43" i="1"/>
  <c r="C43" i="1"/>
  <c r="J43" i="1"/>
  <c r="F43" i="1"/>
  <c r="A41" i="1"/>
  <c r="A40" i="1"/>
  <c r="F42" i="1"/>
  <c r="E42" i="1"/>
  <c r="G42" i="1"/>
  <c r="D42" i="1"/>
  <c r="C42" i="1"/>
  <c r="J42" i="1"/>
  <c r="I42" i="1"/>
  <c r="H42" i="1"/>
  <c r="A8" i="1" l="1"/>
  <c r="B5" i="1"/>
  <c r="A5" i="1" s="1"/>
  <c r="T41" i="1"/>
  <c r="AB41" i="1"/>
  <c r="U41" i="1"/>
  <c r="AC41" i="1"/>
  <c r="X41" i="1"/>
  <c r="AG41" i="1"/>
  <c r="V41" i="1"/>
  <c r="AD41" i="1"/>
  <c r="AE41" i="1"/>
  <c r="AF41" i="1"/>
  <c r="Y41" i="1"/>
  <c r="W41" i="1"/>
  <c r="Z41" i="1"/>
  <c r="AA41" i="1"/>
  <c r="V40" i="1"/>
  <c r="W40" i="1"/>
  <c r="U40" i="1"/>
  <c r="T40" i="1"/>
  <c r="AB40" i="1"/>
  <c r="AC40" i="1"/>
  <c r="AD40" i="1"/>
  <c r="AE40" i="1"/>
  <c r="X40" i="1"/>
  <c r="AF40" i="1"/>
  <c r="Y40" i="1"/>
  <c r="Z40" i="1"/>
  <c r="AG40" i="1"/>
  <c r="AA40" i="1"/>
  <c r="K43" i="1"/>
  <c r="K49" i="1"/>
  <c r="K50" i="1"/>
  <c r="L43" i="1"/>
  <c r="L49" i="1"/>
  <c r="L50" i="1"/>
  <c r="L42" i="1"/>
  <c r="N1" i="1"/>
  <c r="L47" i="1"/>
  <c r="L46" i="1"/>
  <c r="L48" i="1"/>
  <c r="L44" i="1"/>
  <c r="L45" i="1"/>
  <c r="M1" i="1"/>
  <c r="K48" i="1"/>
  <c r="K45" i="1"/>
  <c r="K47" i="1"/>
  <c r="K46" i="1"/>
  <c r="K44" i="1"/>
  <c r="K42" i="1"/>
  <c r="A38" i="1"/>
  <c r="D41" i="1"/>
  <c r="F41" i="1"/>
  <c r="L41" i="1"/>
  <c r="J41" i="1"/>
  <c r="H41" i="1"/>
  <c r="C41" i="1"/>
  <c r="I41" i="1"/>
  <c r="G41" i="1"/>
  <c r="K41" i="1"/>
  <c r="E41" i="1"/>
  <c r="A39" i="1"/>
  <c r="E40" i="1"/>
  <c r="L40" i="1"/>
  <c r="H40" i="1"/>
  <c r="D40" i="1"/>
  <c r="F40" i="1"/>
  <c r="G40" i="1"/>
  <c r="I40" i="1"/>
  <c r="C40" i="1"/>
  <c r="K40" i="1"/>
  <c r="J40" i="1"/>
  <c r="W39" i="1" l="1"/>
  <c r="AE39" i="1"/>
  <c r="AB39" i="1"/>
  <c r="X39" i="1"/>
  <c r="AF39" i="1"/>
  <c r="AC39" i="1"/>
  <c r="U39" i="1"/>
  <c r="T39" i="1"/>
  <c r="V39" i="1"/>
  <c r="AD39" i="1"/>
  <c r="AA39" i="1"/>
  <c r="Z39" i="1"/>
  <c r="AG39" i="1"/>
  <c r="Y39" i="1"/>
  <c r="U38" i="1"/>
  <c r="AC38" i="1"/>
  <c r="V38" i="1"/>
  <c r="AD38" i="1"/>
  <c r="W38" i="1"/>
  <c r="AE38" i="1"/>
  <c r="T38" i="1"/>
  <c r="AB38" i="1"/>
  <c r="AG38" i="1"/>
  <c r="X38" i="1"/>
  <c r="AF38" i="1"/>
  <c r="Z38" i="1"/>
  <c r="Y38" i="1"/>
  <c r="AA38" i="1"/>
  <c r="N41" i="1"/>
  <c r="N49" i="1"/>
  <c r="N50" i="1"/>
  <c r="M41" i="1"/>
  <c r="M49" i="1"/>
  <c r="M50" i="1"/>
  <c r="N40" i="1"/>
  <c r="M40" i="1"/>
  <c r="O1" i="1"/>
  <c r="O46" i="1" s="1"/>
  <c r="P1" i="1"/>
  <c r="N48" i="1"/>
  <c r="N44" i="1"/>
  <c r="N46" i="1"/>
  <c r="N47" i="1"/>
  <c r="N45" i="1"/>
  <c r="N42" i="1"/>
  <c r="N43" i="1"/>
  <c r="M46" i="1"/>
  <c r="M48" i="1"/>
  <c r="M45" i="1"/>
  <c r="M47" i="1"/>
  <c r="M44" i="1"/>
  <c r="M43" i="1"/>
  <c r="M42" i="1"/>
  <c r="A36" i="1"/>
  <c r="M39" i="1"/>
  <c r="E39" i="1"/>
  <c r="K39" i="1"/>
  <c r="G39" i="1"/>
  <c r="C39" i="1"/>
  <c r="L39" i="1"/>
  <c r="I39" i="1"/>
  <c r="J39" i="1"/>
  <c r="N39" i="1"/>
  <c r="F39" i="1"/>
  <c r="H39" i="1"/>
  <c r="D39" i="1"/>
  <c r="A37" i="1"/>
  <c r="M38" i="1"/>
  <c r="G38" i="1"/>
  <c r="H38" i="1"/>
  <c r="N38" i="1"/>
  <c r="C38" i="1"/>
  <c r="D38" i="1"/>
  <c r="I38" i="1"/>
  <c r="K38" i="1"/>
  <c r="L38" i="1"/>
  <c r="J38" i="1"/>
  <c r="E38" i="1"/>
  <c r="F38" i="1"/>
  <c r="V36" i="1" l="1"/>
  <c r="W36" i="1"/>
  <c r="T36" i="1"/>
  <c r="AB36" i="1"/>
  <c r="AE36" i="1"/>
  <c r="U36" i="1"/>
  <c r="AC36" i="1"/>
  <c r="AD36" i="1"/>
  <c r="X36" i="1"/>
  <c r="AF36" i="1"/>
  <c r="AA36" i="1"/>
  <c r="Z36" i="1"/>
  <c r="AG36" i="1"/>
  <c r="Y36" i="1"/>
  <c r="T37" i="1"/>
  <c r="AB37" i="1"/>
  <c r="U37" i="1"/>
  <c r="AC37" i="1"/>
  <c r="X37" i="1"/>
  <c r="AG37" i="1"/>
  <c r="V37" i="1"/>
  <c r="AD37" i="1"/>
  <c r="AF37" i="1"/>
  <c r="W37" i="1"/>
  <c r="AE37" i="1"/>
  <c r="Y37" i="1"/>
  <c r="Z37" i="1"/>
  <c r="AA37" i="1"/>
  <c r="O43" i="1"/>
  <c r="P39" i="1"/>
  <c r="P49" i="1"/>
  <c r="P50" i="1"/>
  <c r="O40" i="1"/>
  <c r="O49" i="1"/>
  <c r="O50" i="1"/>
  <c r="O39" i="1"/>
  <c r="O44" i="1"/>
  <c r="O45" i="1"/>
  <c r="O48" i="1"/>
  <c r="O47" i="1"/>
  <c r="O38" i="1"/>
  <c r="O42" i="1"/>
  <c r="Q1" i="1"/>
  <c r="R1" i="1"/>
  <c r="P47" i="1"/>
  <c r="P44" i="1"/>
  <c r="P46" i="1"/>
  <c r="P48" i="1"/>
  <c r="P45" i="1"/>
  <c r="P42" i="1"/>
  <c r="P43" i="1"/>
  <c r="P41" i="1"/>
  <c r="P40" i="1"/>
  <c r="O41" i="1"/>
  <c r="P38" i="1"/>
  <c r="P36" i="1"/>
  <c r="P37" i="1"/>
  <c r="D37" i="1"/>
  <c r="C37" i="1"/>
  <c r="N37" i="1"/>
  <c r="O37" i="1"/>
  <c r="I37" i="1"/>
  <c r="G37" i="1"/>
  <c r="E37" i="1"/>
  <c r="H37" i="1"/>
  <c r="L37" i="1"/>
  <c r="M37" i="1"/>
  <c r="J37" i="1"/>
  <c r="F37" i="1"/>
  <c r="K37" i="1"/>
  <c r="F36" i="1"/>
  <c r="K36" i="1"/>
  <c r="L36" i="1"/>
  <c r="E36" i="1"/>
  <c r="C36" i="1"/>
  <c r="J36" i="1"/>
  <c r="N36" i="1"/>
  <c r="O36" i="1"/>
  <c r="M36" i="1"/>
  <c r="G36" i="1"/>
  <c r="H36" i="1"/>
  <c r="I36" i="1"/>
  <c r="D36" i="1"/>
  <c r="A35" i="1"/>
  <c r="A34" i="1"/>
  <c r="U34" i="1" l="1"/>
  <c r="AC34" i="1"/>
  <c r="V34" i="1"/>
  <c r="AD34" i="1"/>
  <c r="W34" i="1"/>
  <c r="AE34" i="1"/>
  <c r="AB34" i="1"/>
  <c r="T34" i="1"/>
  <c r="AA34" i="1"/>
  <c r="Z34" i="1"/>
  <c r="AG34" i="1"/>
  <c r="AF34" i="1"/>
  <c r="Y34" i="1"/>
  <c r="X34" i="1"/>
  <c r="W35" i="1"/>
  <c r="AE35" i="1"/>
  <c r="T35" i="1"/>
  <c r="X35" i="1"/>
  <c r="AF35" i="1"/>
  <c r="AC35" i="1"/>
  <c r="AB35" i="1"/>
  <c r="U35" i="1"/>
  <c r="AD35" i="1"/>
  <c r="V35" i="1"/>
  <c r="AA35" i="1"/>
  <c r="AG35" i="1"/>
  <c r="Y35" i="1"/>
  <c r="Z35" i="1"/>
  <c r="Q36" i="1"/>
  <c r="Q49" i="1"/>
  <c r="Q50" i="1"/>
  <c r="R36" i="1"/>
  <c r="R49" i="1"/>
  <c r="R50" i="1"/>
  <c r="R37" i="1"/>
  <c r="Q37" i="1"/>
  <c r="R48" i="1"/>
  <c r="R46" i="1"/>
  <c r="R43" i="1"/>
  <c r="R45" i="1"/>
  <c r="R47" i="1"/>
  <c r="R44" i="1"/>
  <c r="R42" i="1"/>
  <c r="R41" i="1"/>
  <c r="R40" i="1"/>
  <c r="R38" i="1"/>
  <c r="R39" i="1"/>
  <c r="Q48" i="1"/>
  <c r="Q45" i="1"/>
  <c r="Q47" i="1"/>
  <c r="Q44" i="1"/>
  <c r="Q46" i="1"/>
  <c r="Q43" i="1"/>
  <c r="Q42" i="1"/>
  <c r="Q40" i="1"/>
  <c r="Q41" i="1"/>
  <c r="Q38" i="1"/>
  <c r="Q39" i="1"/>
  <c r="S1" i="1"/>
  <c r="P34" i="1"/>
  <c r="R34" i="1"/>
  <c r="Q34" i="1"/>
  <c r="P35" i="1"/>
  <c r="Q35" i="1"/>
  <c r="R35" i="1"/>
  <c r="A33" i="1"/>
  <c r="A32" i="1"/>
  <c r="L34" i="1"/>
  <c r="N34" i="1"/>
  <c r="O34" i="1"/>
  <c r="E34" i="1"/>
  <c r="H34" i="1"/>
  <c r="M34" i="1"/>
  <c r="K34" i="1"/>
  <c r="I34" i="1"/>
  <c r="F34" i="1"/>
  <c r="C34" i="1"/>
  <c r="G34" i="1"/>
  <c r="J34" i="1"/>
  <c r="D34" i="1"/>
  <c r="L35" i="1"/>
  <c r="O35" i="1"/>
  <c r="J35" i="1"/>
  <c r="G35" i="1"/>
  <c r="H35" i="1"/>
  <c r="K35" i="1"/>
  <c r="D35" i="1"/>
  <c r="C35" i="1"/>
  <c r="N35" i="1"/>
  <c r="F35" i="1"/>
  <c r="E35" i="1"/>
  <c r="I35" i="1"/>
  <c r="M35" i="1"/>
  <c r="V32" i="1" l="1"/>
  <c r="T32" i="1"/>
  <c r="AB32" i="1"/>
  <c r="AD32" i="1"/>
  <c r="AE32" i="1"/>
  <c r="U32" i="1"/>
  <c r="AC32" i="1"/>
  <c r="W32" i="1"/>
  <c r="X32" i="1"/>
  <c r="AF32" i="1"/>
  <c r="AG32" i="1"/>
  <c r="Z32" i="1"/>
  <c r="Y32" i="1"/>
  <c r="AA32" i="1"/>
  <c r="T33" i="1"/>
  <c r="AB33" i="1"/>
  <c r="X33" i="1"/>
  <c r="AG33" i="1"/>
  <c r="U33" i="1"/>
  <c r="AC33" i="1"/>
  <c r="Y33" i="1"/>
  <c r="V33" i="1"/>
  <c r="AD33" i="1"/>
  <c r="AE33" i="1"/>
  <c r="W33" i="1"/>
  <c r="AF33" i="1"/>
  <c r="Z33" i="1"/>
  <c r="AA33" i="1"/>
  <c r="S34" i="1"/>
  <c r="S49" i="1"/>
  <c r="S50" i="1"/>
  <c r="S35" i="1"/>
  <c r="S45" i="1"/>
  <c r="S48" i="1"/>
  <c r="S44" i="1"/>
  <c r="S42" i="1"/>
  <c r="S47" i="1"/>
  <c r="S43" i="1"/>
  <c r="S46" i="1"/>
  <c r="S41" i="1"/>
  <c r="S40" i="1"/>
  <c r="S38" i="1"/>
  <c r="S39" i="1"/>
  <c r="S37" i="1"/>
  <c r="S36" i="1"/>
  <c r="P32" i="1"/>
  <c r="Q32" i="1"/>
  <c r="R32" i="1"/>
  <c r="S32" i="1"/>
  <c r="P33" i="1"/>
  <c r="Q33" i="1"/>
  <c r="R33" i="1"/>
  <c r="S33" i="1"/>
  <c r="A30" i="1"/>
  <c r="J32" i="1"/>
  <c r="M32" i="1"/>
  <c r="K32" i="1"/>
  <c r="E32" i="1"/>
  <c r="D32" i="1"/>
  <c r="C32" i="1"/>
  <c r="F32" i="1"/>
  <c r="N32" i="1"/>
  <c r="L32" i="1"/>
  <c r="O32" i="1"/>
  <c r="I32" i="1"/>
  <c r="H32" i="1"/>
  <c r="G32" i="1"/>
  <c r="D33" i="1"/>
  <c r="F33" i="1"/>
  <c r="I33" i="1"/>
  <c r="E33" i="1"/>
  <c r="C33" i="1"/>
  <c r="N33" i="1"/>
  <c r="L33" i="1"/>
  <c r="J33" i="1"/>
  <c r="H33" i="1"/>
  <c r="M33" i="1"/>
  <c r="O33" i="1"/>
  <c r="K33" i="1"/>
  <c r="G33" i="1"/>
  <c r="A31" i="1"/>
  <c r="U30" i="1" l="1"/>
  <c r="AC30" i="1"/>
  <c r="V30" i="1"/>
  <c r="AD30" i="1"/>
  <c r="W30" i="1"/>
  <c r="AE30" i="1"/>
  <c r="T30" i="1"/>
  <c r="AB30" i="1"/>
  <c r="Z30" i="1"/>
  <c r="AF30" i="1"/>
  <c r="X30" i="1"/>
  <c r="AG30" i="1"/>
  <c r="Y30" i="1"/>
  <c r="AA30" i="1"/>
  <c r="W31" i="1"/>
  <c r="AE31" i="1"/>
  <c r="X31" i="1"/>
  <c r="AF31" i="1"/>
  <c r="AC31" i="1"/>
  <c r="T31" i="1"/>
  <c r="U31" i="1"/>
  <c r="AB31" i="1"/>
  <c r="AD31" i="1"/>
  <c r="V31" i="1"/>
  <c r="AA31" i="1"/>
  <c r="AG31" i="1"/>
  <c r="Y31" i="1"/>
  <c r="Z31" i="1"/>
  <c r="P30" i="1"/>
  <c r="Q30" i="1"/>
  <c r="R30" i="1"/>
  <c r="S30" i="1"/>
  <c r="P31" i="1"/>
  <c r="Q31" i="1"/>
  <c r="R31" i="1"/>
  <c r="S31" i="1"/>
  <c r="N31" i="1"/>
  <c r="E31" i="1"/>
  <c r="D31" i="1"/>
  <c r="G31" i="1"/>
  <c r="K31" i="1"/>
  <c r="H31" i="1"/>
  <c r="O31" i="1"/>
  <c r="F31" i="1"/>
  <c r="M31" i="1"/>
  <c r="I31" i="1"/>
  <c r="C31" i="1"/>
  <c r="L31" i="1"/>
  <c r="J31" i="1"/>
  <c r="A29" i="1"/>
  <c r="A28" i="1"/>
  <c r="D30" i="1"/>
  <c r="E30" i="1"/>
  <c r="L30" i="1"/>
  <c r="H30" i="1"/>
  <c r="O30" i="1"/>
  <c r="G30" i="1"/>
  <c r="N30" i="1"/>
  <c r="F30" i="1"/>
  <c r="J30" i="1"/>
  <c r="K30" i="1"/>
  <c r="M30" i="1"/>
  <c r="I30" i="1"/>
  <c r="C30" i="1"/>
  <c r="AD28" i="1" l="1"/>
  <c r="AE28" i="1"/>
  <c r="T28" i="1"/>
  <c r="AB28" i="1"/>
  <c r="W28" i="1"/>
  <c r="U28" i="1"/>
  <c r="AC28" i="1"/>
  <c r="V28" i="1"/>
  <c r="AF28" i="1"/>
  <c r="X28" i="1"/>
  <c r="Z28" i="1"/>
  <c r="AG28" i="1"/>
  <c r="Y28" i="1"/>
  <c r="AA28" i="1"/>
  <c r="T29" i="1"/>
  <c r="AB29" i="1"/>
  <c r="AF29" i="1"/>
  <c r="AG29" i="1"/>
  <c r="U29" i="1"/>
  <c r="AC29" i="1"/>
  <c r="V29" i="1"/>
  <c r="AD29" i="1"/>
  <c r="W29" i="1"/>
  <c r="AE29" i="1"/>
  <c r="X29" i="1"/>
  <c r="Y29" i="1"/>
  <c r="Z29" i="1"/>
  <c r="AA29" i="1"/>
  <c r="P28" i="1"/>
  <c r="Q28" i="1"/>
  <c r="R28" i="1"/>
  <c r="S28" i="1"/>
  <c r="P29" i="1"/>
  <c r="R29" i="1"/>
  <c r="Q29" i="1"/>
  <c r="S29" i="1"/>
  <c r="A27" i="1"/>
  <c r="A26" i="1"/>
  <c r="D29" i="1"/>
  <c r="C29" i="1"/>
  <c r="G29" i="1"/>
  <c r="K29" i="1"/>
  <c r="J29" i="1"/>
  <c r="L29" i="1"/>
  <c r="O29" i="1"/>
  <c r="F29" i="1"/>
  <c r="M29" i="1"/>
  <c r="N29" i="1"/>
  <c r="E29" i="1"/>
  <c r="H29" i="1"/>
  <c r="I29" i="1"/>
  <c r="E28" i="1"/>
  <c r="J28" i="1"/>
  <c r="M28" i="1"/>
  <c r="K28" i="1"/>
  <c r="I28" i="1"/>
  <c r="L28" i="1"/>
  <c r="F28" i="1"/>
  <c r="D28" i="1"/>
  <c r="N28" i="1"/>
  <c r="G28" i="1"/>
  <c r="O28" i="1"/>
  <c r="C28" i="1"/>
  <c r="H28" i="1"/>
  <c r="W27" i="1" l="1"/>
  <c r="AE27" i="1"/>
  <c r="X27" i="1"/>
  <c r="T27" i="1"/>
  <c r="AC27" i="1"/>
  <c r="AB27" i="1"/>
  <c r="U27" i="1"/>
  <c r="V27" i="1"/>
  <c r="AD27" i="1"/>
  <c r="AA27" i="1"/>
  <c r="Y27" i="1"/>
  <c r="AF27" i="1"/>
  <c r="Z27" i="1"/>
  <c r="AG27" i="1"/>
  <c r="U26" i="1"/>
  <c r="AC26" i="1"/>
  <c r="V26" i="1"/>
  <c r="AD26" i="1"/>
  <c r="W26" i="1"/>
  <c r="AE26" i="1"/>
  <c r="T26" i="1"/>
  <c r="AB26" i="1"/>
  <c r="Z26" i="1"/>
  <c r="AA26" i="1"/>
  <c r="AF26" i="1"/>
  <c r="X26" i="1"/>
  <c r="AG26" i="1"/>
  <c r="Y26" i="1"/>
  <c r="P26" i="1"/>
  <c r="Q26" i="1"/>
  <c r="R26" i="1"/>
  <c r="S26" i="1"/>
  <c r="P27" i="1"/>
  <c r="Q27" i="1"/>
  <c r="R27" i="1"/>
  <c r="S27" i="1"/>
  <c r="A25" i="1"/>
  <c r="A24" i="1"/>
  <c r="G26" i="1"/>
  <c r="L26" i="1"/>
  <c r="F26" i="1"/>
  <c r="K26" i="1"/>
  <c r="D26" i="1"/>
  <c r="J26" i="1"/>
  <c r="E26" i="1"/>
  <c r="H26" i="1"/>
  <c r="M26" i="1"/>
  <c r="I26" i="1"/>
  <c r="N26" i="1"/>
  <c r="C26" i="1"/>
  <c r="O26" i="1"/>
  <c r="M27" i="1"/>
  <c r="H27" i="1"/>
  <c r="F27" i="1"/>
  <c r="E27" i="1"/>
  <c r="N27" i="1"/>
  <c r="L27" i="1"/>
  <c r="D27" i="1"/>
  <c r="O27" i="1"/>
  <c r="K27" i="1"/>
  <c r="J27" i="1"/>
  <c r="G27" i="1"/>
  <c r="I27" i="1"/>
  <c r="C27" i="1"/>
  <c r="U24" i="1" l="1"/>
  <c r="V24" i="1"/>
  <c r="AB24" i="1"/>
  <c r="T24" i="1"/>
  <c r="AC24" i="1"/>
  <c r="AD24" i="1"/>
  <c r="AE24" i="1"/>
  <c r="W24" i="1"/>
  <c r="AF24" i="1"/>
  <c r="X24" i="1"/>
  <c r="Z24" i="1"/>
  <c r="AA24" i="1"/>
  <c r="Y24" i="1"/>
  <c r="AG24" i="1"/>
  <c r="T25" i="1"/>
  <c r="AB25" i="1"/>
  <c r="X25" i="1"/>
  <c r="Y25" i="1"/>
  <c r="AG25" i="1"/>
  <c r="V25" i="1"/>
  <c r="AD25" i="1"/>
  <c r="W25" i="1"/>
  <c r="AE25" i="1"/>
  <c r="AF25" i="1"/>
  <c r="Z25" i="1"/>
  <c r="U25" i="1"/>
  <c r="AA25" i="1"/>
  <c r="AC25" i="1"/>
  <c r="P24" i="1"/>
  <c r="R24" i="1"/>
  <c r="Q24" i="1"/>
  <c r="S24" i="1"/>
  <c r="P25" i="1"/>
  <c r="Q25" i="1"/>
  <c r="R25" i="1"/>
  <c r="S25" i="1"/>
  <c r="M24" i="1"/>
  <c r="L24" i="1"/>
  <c r="I24" i="1"/>
  <c r="H24" i="1"/>
  <c r="J24" i="1"/>
  <c r="C24" i="1"/>
  <c r="K24" i="1"/>
  <c r="G24" i="1"/>
  <c r="F24" i="1"/>
  <c r="E24" i="1"/>
  <c r="N24" i="1"/>
  <c r="O24" i="1"/>
  <c r="D24" i="1"/>
  <c r="A23" i="1"/>
  <c r="A22" i="1"/>
  <c r="K25" i="1"/>
  <c r="E25" i="1"/>
  <c r="C25" i="1"/>
  <c r="D25" i="1"/>
  <c r="F25" i="1"/>
  <c r="L25" i="1"/>
  <c r="I25" i="1"/>
  <c r="O25" i="1"/>
  <c r="J25" i="1"/>
  <c r="N25" i="1"/>
  <c r="H25" i="1"/>
  <c r="G25" i="1"/>
  <c r="M25" i="1"/>
  <c r="AB22" i="1" l="1"/>
  <c r="T22" i="1"/>
  <c r="AC22" i="1"/>
  <c r="AG22" i="1"/>
  <c r="Z22" i="1"/>
  <c r="AD22" i="1"/>
  <c r="X22" i="1"/>
  <c r="V22" i="1"/>
  <c r="AE22" i="1"/>
  <c r="W22" i="1"/>
  <c r="AF22" i="1"/>
  <c r="Y22" i="1"/>
  <c r="AA22" i="1"/>
  <c r="U22" i="1"/>
  <c r="V23" i="1"/>
  <c r="AD23" i="1"/>
  <c r="W23" i="1"/>
  <c r="AE23" i="1"/>
  <c r="T23" i="1"/>
  <c r="AC23" i="1"/>
  <c r="AB23" i="1"/>
  <c r="U23" i="1"/>
  <c r="Z23" i="1"/>
  <c r="AF23" i="1"/>
  <c r="AA23" i="1"/>
  <c r="X23" i="1"/>
  <c r="AG23" i="1"/>
  <c r="Y23" i="1"/>
  <c r="P22" i="1"/>
  <c r="Q22" i="1"/>
  <c r="R22" i="1"/>
  <c r="S22" i="1"/>
  <c r="P23" i="1"/>
  <c r="R23" i="1"/>
  <c r="Q23" i="1"/>
  <c r="S23" i="1"/>
  <c r="A21" i="1"/>
  <c r="K22" i="1"/>
  <c r="J22" i="1"/>
  <c r="E22" i="1"/>
  <c r="I22" i="1"/>
  <c r="G22" i="1"/>
  <c r="L22" i="1"/>
  <c r="C22" i="1"/>
  <c r="M22" i="1"/>
  <c r="D22" i="1"/>
  <c r="F22" i="1"/>
  <c r="H22" i="1"/>
  <c r="N22" i="1"/>
  <c r="O22" i="1"/>
  <c r="C23" i="1"/>
  <c r="G23" i="1"/>
  <c r="D23" i="1"/>
  <c r="L23" i="1"/>
  <c r="M23" i="1"/>
  <c r="K23" i="1"/>
  <c r="O23" i="1"/>
  <c r="F23" i="1"/>
  <c r="I23" i="1"/>
  <c r="J23" i="1"/>
  <c r="H23" i="1"/>
  <c r="E23" i="1"/>
  <c r="N23" i="1"/>
  <c r="A20" i="1"/>
  <c r="V20" i="1" l="1"/>
  <c r="AE20" i="1"/>
  <c r="W20" i="1"/>
  <c r="AB20" i="1"/>
  <c r="T20" i="1"/>
  <c r="AC20" i="1"/>
  <c r="U20" i="1"/>
  <c r="AD20" i="1"/>
  <c r="X20" i="1"/>
  <c r="Z20" i="1"/>
  <c r="AA20" i="1"/>
  <c r="AF20" i="1"/>
  <c r="AG20" i="1"/>
  <c r="Y20" i="1"/>
  <c r="V21" i="1"/>
  <c r="AE21" i="1"/>
  <c r="X21" i="1"/>
  <c r="W21" i="1"/>
  <c r="T21" i="1"/>
  <c r="AB21" i="1"/>
  <c r="U21" i="1"/>
  <c r="AC21" i="1"/>
  <c r="AD21" i="1"/>
  <c r="AF21" i="1"/>
  <c r="AG21" i="1"/>
  <c r="Z21" i="1"/>
  <c r="Y21" i="1"/>
  <c r="AA21" i="1"/>
  <c r="P20" i="1"/>
  <c r="R20" i="1"/>
  <c r="Q20" i="1"/>
  <c r="S20" i="1"/>
  <c r="P21" i="1"/>
  <c r="Q21" i="1"/>
  <c r="R21" i="1"/>
  <c r="S21" i="1"/>
  <c r="K21" i="1"/>
  <c r="F21" i="1"/>
  <c r="G21" i="1"/>
  <c r="I21" i="1"/>
  <c r="D21" i="1"/>
  <c r="O21" i="1"/>
  <c r="M21" i="1"/>
  <c r="L21" i="1"/>
  <c r="H21" i="1"/>
  <c r="J21" i="1"/>
  <c r="N21" i="1"/>
  <c r="E21" i="1"/>
  <c r="C21" i="1"/>
  <c r="E20" i="1"/>
  <c r="L20" i="1"/>
  <c r="C20" i="1"/>
  <c r="F20" i="1"/>
  <c r="K20" i="1"/>
  <c r="N20" i="1"/>
  <c r="I20" i="1"/>
  <c r="O20" i="1"/>
  <c r="D20" i="1"/>
  <c r="M20" i="1"/>
  <c r="G20" i="1"/>
  <c r="H20" i="1"/>
  <c r="J20" i="1"/>
  <c r="A18" i="1"/>
  <c r="A19" i="1"/>
  <c r="W18" i="1" l="1"/>
  <c r="AF18" i="1"/>
  <c r="U18" i="1"/>
  <c r="AB18" i="1"/>
  <c r="AD18" i="1"/>
  <c r="AE18" i="1"/>
  <c r="AC18" i="1"/>
  <c r="V18" i="1"/>
  <c r="Z18" i="1"/>
  <c r="T18" i="1"/>
  <c r="AG18" i="1"/>
  <c r="X18" i="1"/>
  <c r="AA18" i="1"/>
  <c r="Y18" i="1"/>
  <c r="AB19" i="1"/>
  <c r="Z19" i="1"/>
  <c r="T19" i="1"/>
  <c r="AC19" i="1"/>
  <c r="X19" i="1"/>
  <c r="AD19" i="1"/>
  <c r="V19" i="1"/>
  <c r="AE19" i="1"/>
  <c r="W19" i="1"/>
  <c r="AF19" i="1"/>
  <c r="AG19" i="1"/>
  <c r="Y19" i="1"/>
  <c r="AA19" i="1"/>
  <c r="U19" i="1"/>
  <c r="P18" i="1"/>
  <c r="R18" i="1"/>
  <c r="Q18" i="1"/>
  <c r="S18" i="1"/>
  <c r="P19" i="1"/>
  <c r="Q19" i="1"/>
  <c r="R19" i="1"/>
  <c r="S19" i="1"/>
  <c r="G18" i="1"/>
  <c r="F18" i="1"/>
  <c r="M18" i="1"/>
  <c r="O18" i="1"/>
  <c r="E18" i="1"/>
  <c r="L18" i="1"/>
  <c r="K18" i="1"/>
  <c r="J18" i="1"/>
  <c r="D18" i="1"/>
  <c r="C18" i="1"/>
  <c r="I18" i="1"/>
  <c r="H18" i="1"/>
  <c r="N18" i="1"/>
  <c r="E19" i="1"/>
  <c r="I19" i="1"/>
  <c r="D19" i="1"/>
  <c r="L19" i="1"/>
  <c r="M19" i="1"/>
  <c r="O19" i="1"/>
  <c r="H19" i="1"/>
  <c r="J19" i="1"/>
  <c r="F19" i="1"/>
  <c r="C19" i="1"/>
  <c r="N19" i="1"/>
  <c r="K19" i="1"/>
  <c r="G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<sst xmlns="http://schemas.openxmlformats.org/spreadsheetml/2006/main" count="22" uniqueCount="15">
  <si>
    <t>limit</t>
  </si>
  <si>
    <t>n</t>
  </si>
  <si>
    <t>h</t>
  </si>
  <si>
    <t>v</t>
  </si>
  <si>
    <t>hex</t>
  </si>
  <si>
    <t>radius</t>
  </si>
  <si>
    <t>sq</t>
  </si>
  <si>
    <t>a</t>
  </si>
  <si>
    <t>total</t>
  </si>
  <si>
    <t>unit area</t>
  </si>
  <si>
    <t>ratio</t>
  </si>
  <si>
    <t>optimal</t>
  </si>
  <si>
    <t>diff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</si>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</sst>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0.000"/>
    <numFmt numFmtId="171" formatCode="_-* #,##0.000_-;\-* #,##0.000_-;_-* &quot;-&quot;??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168" fontId="0" fillId="0" borderId="0" xfId="0" applyNumberFormat="1"/>
    <xf numFmtId="1" fontId="0" fillId="0" borderId="0" xfId="0" applyNumberFormat="1"/>
    <xf numFmtId="171" fontId="0" fillId="0" borderId="0" xfId="1" applyNumberFormat="1" applyFont="1" applyAlignment="1">
      <alignment horizontal="center"/>
    </xf>
    <xf numFmtId="171" fontId="0" fillId="0" borderId="0" xfId="1" applyNumberFormat="1" applyFont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1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/>
    <xf numFmtId="0" fontId="3" fillId="0" borderId="0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0" fillId="3" borderId="0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2">
    <cellStyle name="Dziesiętny" xfId="1" builtinId="3"/>
    <cellStyle name="Normalny" xfId="0" builtinId="0"/>
  </cellStyles>
  <dxfs count="14"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rgb="FF006100"/>
      </font>
      <fill>
        <patternFill>
          <bgColor rgb="FFC6EFCE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4B0F-28DC-44BC-BFA1-3CEE218E81C0}">
  <dimension ref="A1:AG50"/>
  <sheetViews>
    <sheetView tabSelected="1" topLeftCell="A31" workbookViewId="0">
      <selection activeCell="A2" sqref="A2"/>
    </sheetView>
  </sheetViews>
  <sheetFormatPr defaultRowHeight="15" x14ac:dyDescent="0.25"/>
  <cols>
    <col min="3" max="33" width="5.7109375" customWidth="1"/>
  </cols>
  <sheetData>
    <row r="1" spans="1:33" x14ac:dyDescent="0.25">
      <c r="A1">
        <v>3</v>
      </c>
      <c r="B1" s="12"/>
      <c r="C1">
        <f>C2*C2</f>
        <v>0</v>
      </c>
      <c r="D1">
        <f t="shared" ref="D1:O1" si="0">D2*D2</f>
        <v>1</v>
      </c>
      <c r="E1">
        <f t="shared" si="0"/>
        <v>4</v>
      </c>
      <c r="F1">
        <f t="shared" si="0"/>
        <v>9</v>
      </c>
      <c r="G1">
        <f t="shared" si="0"/>
        <v>16</v>
      </c>
      <c r="H1">
        <f t="shared" si="0"/>
        <v>25</v>
      </c>
      <c r="I1">
        <f t="shared" si="0"/>
        <v>36</v>
      </c>
      <c r="J1">
        <f t="shared" si="0"/>
        <v>49</v>
      </c>
      <c r="K1">
        <f t="shared" si="0"/>
        <v>64</v>
      </c>
      <c r="L1">
        <f t="shared" si="0"/>
        <v>81</v>
      </c>
      <c r="M1">
        <f t="shared" si="0"/>
        <v>100</v>
      </c>
      <c r="N1">
        <f t="shared" si="0"/>
        <v>121</v>
      </c>
      <c r="O1">
        <f t="shared" si="0"/>
        <v>144</v>
      </c>
      <c r="P1">
        <f t="shared" ref="P1" si="1">P2*P2</f>
        <v>169</v>
      </c>
      <c r="Q1">
        <f t="shared" ref="Q1" si="2">Q2*Q2</f>
        <v>196</v>
      </c>
      <c r="R1">
        <f t="shared" ref="R1:AF1" si="3">R2*R2</f>
        <v>225</v>
      </c>
      <c r="S1">
        <f t="shared" ref="S1:AG1" si="4">S2*S2</f>
        <v>256</v>
      </c>
      <c r="T1">
        <f t="shared" si="3"/>
        <v>289</v>
      </c>
      <c r="U1">
        <f t="shared" si="4"/>
        <v>324</v>
      </c>
      <c r="V1">
        <f t="shared" si="3"/>
        <v>361</v>
      </c>
      <c r="W1">
        <f t="shared" si="4"/>
        <v>400</v>
      </c>
      <c r="X1">
        <f t="shared" si="3"/>
        <v>441</v>
      </c>
      <c r="Y1">
        <f t="shared" si="4"/>
        <v>484</v>
      </c>
      <c r="Z1">
        <f t="shared" si="3"/>
        <v>529</v>
      </c>
      <c r="AA1">
        <f t="shared" si="4"/>
        <v>576</v>
      </c>
      <c r="AB1">
        <f t="shared" si="3"/>
        <v>625</v>
      </c>
      <c r="AC1">
        <f t="shared" si="4"/>
        <v>676</v>
      </c>
      <c r="AD1">
        <f t="shared" si="3"/>
        <v>729</v>
      </c>
      <c r="AE1">
        <f t="shared" si="4"/>
        <v>784</v>
      </c>
      <c r="AF1">
        <f t="shared" si="3"/>
        <v>841</v>
      </c>
      <c r="AG1">
        <f t="shared" si="4"/>
        <v>900</v>
      </c>
    </row>
    <row r="2" spans="1:33" ht="15.75" thickBot="1" x14ac:dyDescent="0.3">
      <c r="A2" s="11"/>
      <c r="B2" s="13">
        <f>12*A1*A1</f>
        <v>108</v>
      </c>
      <c r="C2" s="14">
        <v>0</v>
      </c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</row>
    <row r="3" spans="1:33" ht="16.5" thickTop="1" thickBot="1" x14ac:dyDescent="0.3">
      <c r="A3">
        <f t="shared" ref="A3:A17" si="5">3*B3*B3</f>
        <v>675</v>
      </c>
      <c r="B3" s="19">
        <f t="shared" ref="B3:B17" si="6">B6+1</f>
        <v>15</v>
      </c>
      <c r="C3" s="22">
        <f t="shared" ref="C3:R17" si="7">C$1+$A3</f>
        <v>675</v>
      </c>
      <c r="D3" s="16">
        <f t="shared" si="7"/>
        <v>676</v>
      </c>
      <c r="E3" s="15">
        <f t="shared" si="7"/>
        <v>679</v>
      </c>
      <c r="F3" s="15">
        <f t="shared" si="7"/>
        <v>684</v>
      </c>
      <c r="G3" s="18">
        <f t="shared" si="7"/>
        <v>691</v>
      </c>
      <c r="H3" s="17">
        <f t="shared" si="7"/>
        <v>700</v>
      </c>
      <c r="I3" s="17">
        <f t="shared" si="7"/>
        <v>711</v>
      </c>
      <c r="J3" s="15">
        <f t="shared" si="7"/>
        <v>724</v>
      </c>
      <c r="K3" s="15">
        <f t="shared" si="7"/>
        <v>739</v>
      </c>
      <c r="L3" s="15">
        <f t="shared" si="7"/>
        <v>756</v>
      </c>
      <c r="M3" s="15">
        <f t="shared" si="7"/>
        <v>775</v>
      </c>
      <c r="N3" s="15">
        <f t="shared" si="7"/>
        <v>796</v>
      </c>
      <c r="O3" s="15">
        <f t="shared" si="7"/>
        <v>819</v>
      </c>
      <c r="P3" s="15">
        <f t="shared" si="7"/>
        <v>844</v>
      </c>
      <c r="Q3" s="15">
        <f t="shared" si="7"/>
        <v>871</v>
      </c>
      <c r="R3" s="15">
        <f t="shared" si="7"/>
        <v>900</v>
      </c>
      <c r="S3" s="15">
        <f t="shared" ref="S3:AG17" si="8">S$1+$A3</f>
        <v>931</v>
      </c>
      <c r="T3" s="15">
        <f t="shared" si="8"/>
        <v>964</v>
      </c>
      <c r="U3" s="15">
        <f t="shared" si="8"/>
        <v>999</v>
      </c>
      <c r="V3" s="15">
        <f t="shared" si="8"/>
        <v>1036</v>
      </c>
      <c r="W3" s="15">
        <f t="shared" si="8"/>
        <v>1075</v>
      </c>
      <c r="X3" s="15">
        <f t="shared" si="8"/>
        <v>1116</v>
      </c>
      <c r="Y3" s="15">
        <f t="shared" si="8"/>
        <v>1159</v>
      </c>
      <c r="Z3" s="15">
        <f t="shared" si="8"/>
        <v>1204</v>
      </c>
      <c r="AA3" s="15">
        <f t="shared" si="8"/>
        <v>1251</v>
      </c>
      <c r="AB3" s="15">
        <f t="shared" si="8"/>
        <v>1300</v>
      </c>
      <c r="AC3" s="15">
        <f t="shared" si="8"/>
        <v>1351</v>
      </c>
      <c r="AD3" s="15">
        <f t="shared" si="8"/>
        <v>1404</v>
      </c>
      <c r="AE3" s="15">
        <f t="shared" si="8"/>
        <v>1459</v>
      </c>
      <c r="AF3" s="15">
        <f t="shared" si="8"/>
        <v>1516</v>
      </c>
      <c r="AG3" s="15">
        <f t="shared" si="8"/>
        <v>1575</v>
      </c>
    </row>
    <row r="4" spans="1:33" ht="16.5" thickTop="1" thickBot="1" x14ac:dyDescent="0.3">
      <c r="A4">
        <f t="shared" si="5"/>
        <v>675</v>
      </c>
      <c r="B4" s="12">
        <f t="shared" si="6"/>
        <v>15</v>
      </c>
      <c r="C4" s="20">
        <f t="shared" si="7"/>
        <v>675</v>
      </c>
      <c r="D4" s="1">
        <f t="shared" si="7"/>
        <v>676</v>
      </c>
      <c r="E4" s="15">
        <f t="shared" si="7"/>
        <v>679</v>
      </c>
      <c r="F4" s="15">
        <f t="shared" si="7"/>
        <v>684</v>
      </c>
      <c r="G4" s="15">
        <f t="shared" si="7"/>
        <v>691</v>
      </c>
      <c r="H4" s="3">
        <f t="shared" si="7"/>
        <v>700</v>
      </c>
      <c r="I4" s="7">
        <f t="shared" si="7"/>
        <v>711</v>
      </c>
      <c r="J4" s="8">
        <f t="shared" si="7"/>
        <v>724</v>
      </c>
      <c r="K4" s="15">
        <f t="shared" si="7"/>
        <v>739</v>
      </c>
      <c r="L4" s="15">
        <f t="shared" si="7"/>
        <v>756</v>
      </c>
      <c r="M4" s="15">
        <f t="shared" si="7"/>
        <v>775</v>
      </c>
      <c r="N4" s="15">
        <f t="shared" si="7"/>
        <v>796</v>
      </c>
      <c r="O4" s="15">
        <f t="shared" si="7"/>
        <v>819</v>
      </c>
      <c r="P4" s="15">
        <f t="shared" si="7"/>
        <v>844</v>
      </c>
      <c r="Q4" s="15">
        <f t="shared" si="7"/>
        <v>871</v>
      </c>
      <c r="R4" s="15">
        <f t="shared" si="7"/>
        <v>900</v>
      </c>
      <c r="S4" s="15">
        <f t="shared" si="8"/>
        <v>931</v>
      </c>
      <c r="T4" s="15">
        <f t="shared" si="8"/>
        <v>964</v>
      </c>
      <c r="U4" s="15">
        <f t="shared" si="8"/>
        <v>999</v>
      </c>
      <c r="V4" s="15">
        <f t="shared" si="8"/>
        <v>1036</v>
      </c>
      <c r="W4" s="15">
        <f t="shared" si="8"/>
        <v>1075</v>
      </c>
      <c r="X4" s="15">
        <f t="shared" si="8"/>
        <v>1116</v>
      </c>
      <c r="Y4" s="15">
        <f t="shared" si="8"/>
        <v>1159</v>
      </c>
      <c r="Z4" s="15">
        <f t="shared" si="8"/>
        <v>1204</v>
      </c>
      <c r="AA4" s="15">
        <f t="shared" si="8"/>
        <v>1251</v>
      </c>
      <c r="AB4" s="15">
        <f t="shared" si="8"/>
        <v>1300</v>
      </c>
      <c r="AC4" s="15">
        <f t="shared" si="8"/>
        <v>1351</v>
      </c>
      <c r="AD4" s="15">
        <f t="shared" si="8"/>
        <v>1404</v>
      </c>
      <c r="AE4" s="15">
        <f t="shared" si="8"/>
        <v>1459</v>
      </c>
      <c r="AF4" s="15">
        <f t="shared" si="8"/>
        <v>1516</v>
      </c>
      <c r="AG4" s="15">
        <f t="shared" si="8"/>
        <v>1575</v>
      </c>
    </row>
    <row r="5" spans="1:33" ht="15.75" thickTop="1" x14ac:dyDescent="0.25">
      <c r="A5">
        <f t="shared" si="5"/>
        <v>675</v>
      </c>
      <c r="B5" s="12">
        <f t="shared" si="6"/>
        <v>15</v>
      </c>
      <c r="C5" s="15">
        <f t="shared" si="7"/>
        <v>675</v>
      </c>
      <c r="D5" s="2">
        <f t="shared" si="7"/>
        <v>676</v>
      </c>
      <c r="E5" s="15">
        <f t="shared" si="7"/>
        <v>679</v>
      </c>
      <c r="F5" s="15">
        <f t="shared" si="7"/>
        <v>684</v>
      </c>
      <c r="G5" s="2">
        <f t="shared" si="7"/>
        <v>691</v>
      </c>
      <c r="H5" s="15">
        <f t="shared" si="7"/>
        <v>700</v>
      </c>
      <c r="I5" s="15">
        <f t="shared" si="7"/>
        <v>711</v>
      </c>
      <c r="J5" s="5">
        <f t="shared" si="7"/>
        <v>724</v>
      </c>
      <c r="K5" s="15">
        <f t="shared" si="7"/>
        <v>739</v>
      </c>
      <c r="L5" s="15">
        <f t="shared" si="7"/>
        <v>756</v>
      </c>
      <c r="M5" s="15">
        <f t="shared" si="7"/>
        <v>775</v>
      </c>
      <c r="N5" s="15">
        <f t="shared" si="7"/>
        <v>796</v>
      </c>
      <c r="O5" s="15">
        <f t="shared" si="7"/>
        <v>819</v>
      </c>
      <c r="P5" s="15">
        <f t="shared" si="7"/>
        <v>844</v>
      </c>
      <c r="Q5" s="15">
        <f t="shared" si="7"/>
        <v>871</v>
      </c>
      <c r="R5" s="15">
        <f t="shared" si="7"/>
        <v>900</v>
      </c>
      <c r="S5" s="15">
        <f t="shared" si="8"/>
        <v>931</v>
      </c>
      <c r="T5" s="15">
        <f t="shared" si="8"/>
        <v>964</v>
      </c>
      <c r="U5" s="15">
        <f t="shared" si="8"/>
        <v>999</v>
      </c>
      <c r="V5" s="15">
        <f t="shared" si="8"/>
        <v>1036</v>
      </c>
      <c r="W5" s="15">
        <f t="shared" si="8"/>
        <v>1075</v>
      </c>
      <c r="X5" s="15">
        <f t="shared" si="8"/>
        <v>1116</v>
      </c>
      <c r="Y5" s="15">
        <f t="shared" si="8"/>
        <v>1159</v>
      </c>
      <c r="Z5" s="15">
        <f t="shared" si="8"/>
        <v>1204</v>
      </c>
      <c r="AA5" s="15">
        <f t="shared" si="8"/>
        <v>1251</v>
      </c>
      <c r="AB5" s="15">
        <f t="shared" si="8"/>
        <v>1300</v>
      </c>
      <c r="AC5" s="15">
        <f t="shared" si="8"/>
        <v>1351</v>
      </c>
      <c r="AD5" s="15">
        <f t="shared" si="8"/>
        <v>1404</v>
      </c>
      <c r="AE5" s="15">
        <f t="shared" si="8"/>
        <v>1459</v>
      </c>
      <c r="AF5" s="15">
        <f t="shared" si="8"/>
        <v>1516</v>
      </c>
      <c r="AG5" s="15">
        <f t="shared" si="8"/>
        <v>1575</v>
      </c>
    </row>
    <row r="6" spans="1:33" ht="15.75" thickBot="1" x14ac:dyDescent="0.3">
      <c r="A6">
        <f t="shared" si="5"/>
        <v>588</v>
      </c>
      <c r="B6" s="12">
        <f t="shared" si="6"/>
        <v>14</v>
      </c>
      <c r="C6" s="15">
        <f t="shared" si="7"/>
        <v>588</v>
      </c>
      <c r="D6" s="2">
        <f t="shared" si="7"/>
        <v>589</v>
      </c>
      <c r="E6" s="1">
        <f t="shared" si="7"/>
        <v>592</v>
      </c>
      <c r="F6" s="1">
        <f t="shared" si="7"/>
        <v>597</v>
      </c>
      <c r="G6" s="3">
        <f t="shared" si="7"/>
        <v>604</v>
      </c>
      <c r="H6" s="15">
        <f t="shared" si="7"/>
        <v>613</v>
      </c>
      <c r="I6" s="15">
        <f t="shared" si="7"/>
        <v>624</v>
      </c>
      <c r="J6" s="2">
        <f t="shared" si="7"/>
        <v>637</v>
      </c>
      <c r="K6" s="8">
        <f t="shared" si="7"/>
        <v>652</v>
      </c>
      <c r="L6" s="1">
        <f t="shared" si="7"/>
        <v>669</v>
      </c>
      <c r="M6" s="15">
        <f t="shared" si="7"/>
        <v>688</v>
      </c>
      <c r="N6" s="15">
        <f t="shared" si="7"/>
        <v>709</v>
      </c>
      <c r="O6" s="15">
        <f t="shared" si="7"/>
        <v>732</v>
      </c>
      <c r="P6" s="15">
        <f t="shared" si="7"/>
        <v>757</v>
      </c>
      <c r="Q6" s="15">
        <f t="shared" si="7"/>
        <v>784</v>
      </c>
      <c r="R6" s="15">
        <f t="shared" si="7"/>
        <v>813</v>
      </c>
      <c r="S6" s="15">
        <f t="shared" si="8"/>
        <v>844</v>
      </c>
      <c r="T6" s="15">
        <f t="shared" si="8"/>
        <v>877</v>
      </c>
      <c r="U6" s="15">
        <f t="shared" si="8"/>
        <v>912</v>
      </c>
      <c r="V6" s="15">
        <f t="shared" si="8"/>
        <v>949</v>
      </c>
      <c r="W6" s="15">
        <f t="shared" si="8"/>
        <v>988</v>
      </c>
      <c r="X6" s="15">
        <f t="shared" si="8"/>
        <v>1029</v>
      </c>
      <c r="Y6" s="15">
        <f t="shared" si="8"/>
        <v>1072</v>
      </c>
      <c r="Z6" s="15">
        <f t="shared" si="8"/>
        <v>1117</v>
      </c>
      <c r="AA6" s="15">
        <f t="shared" si="8"/>
        <v>1164</v>
      </c>
      <c r="AB6" s="15">
        <f t="shared" si="8"/>
        <v>1213</v>
      </c>
      <c r="AC6" s="15">
        <f t="shared" si="8"/>
        <v>1264</v>
      </c>
      <c r="AD6" s="15">
        <f t="shared" si="8"/>
        <v>1317</v>
      </c>
      <c r="AE6" s="15">
        <f t="shared" si="8"/>
        <v>1372</v>
      </c>
      <c r="AF6" s="15">
        <f t="shared" si="8"/>
        <v>1429</v>
      </c>
      <c r="AG6" s="15">
        <f t="shared" si="8"/>
        <v>1488</v>
      </c>
    </row>
    <row r="7" spans="1:33" ht="16.5" thickTop="1" thickBot="1" x14ac:dyDescent="0.3">
      <c r="A7">
        <f t="shared" si="5"/>
        <v>588</v>
      </c>
      <c r="B7" s="12">
        <f t="shared" si="6"/>
        <v>14</v>
      </c>
      <c r="C7" s="15">
        <f t="shared" si="7"/>
        <v>588</v>
      </c>
      <c r="D7" s="15">
        <f t="shared" si="7"/>
        <v>589</v>
      </c>
      <c r="E7" s="3">
        <f t="shared" si="7"/>
        <v>592</v>
      </c>
      <c r="F7" s="7">
        <f t="shared" si="7"/>
        <v>597</v>
      </c>
      <c r="G7" s="8">
        <f t="shared" si="7"/>
        <v>604</v>
      </c>
      <c r="H7" s="15">
        <f t="shared" si="7"/>
        <v>613</v>
      </c>
      <c r="I7" s="15">
        <f t="shared" si="7"/>
        <v>624</v>
      </c>
      <c r="J7" s="15">
        <f t="shared" si="7"/>
        <v>637</v>
      </c>
      <c r="K7" s="6">
        <f t="shared" si="7"/>
        <v>652</v>
      </c>
      <c r="L7" s="7">
        <f t="shared" si="7"/>
        <v>669</v>
      </c>
      <c r="M7" s="8">
        <f t="shared" si="7"/>
        <v>688</v>
      </c>
      <c r="N7" s="15">
        <f t="shared" si="7"/>
        <v>709</v>
      </c>
      <c r="O7" s="15">
        <f t="shared" si="7"/>
        <v>732</v>
      </c>
      <c r="P7" s="15">
        <f t="shared" si="7"/>
        <v>757</v>
      </c>
      <c r="Q7" s="15">
        <f t="shared" si="7"/>
        <v>784</v>
      </c>
      <c r="R7" s="15">
        <f t="shared" si="7"/>
        <v>813</v>
      </c>
      <c r="S7" s="15">
        <f t="shared" si="8"/>
        <v>844</v>
      </c>
      <c r="T7" s="15">
        <f t="shared" si="8"/>
        <v>877</v>
      </c>
      <c r="U7" s="15">
        <f t="shared" si="8"/>
        <v>912</v>
      </c>
      <c r="V7" s="15">
        <f t="shared" si="8"/>
        <v>949</v>
      </c>
      <c r="W7" s="15">
        <f t="shared" si="8"/>
        <v>988</v>
      </c>
      <c r="X7" s="15">
        <f t="shared" si="8"/>
        <v>1029</v>
      </c>
      <c r="Y7" s="15">
        <f t="shared" si="8"/>
        <v>1072</v>
      </c>
      <c r="Z7" s="15">
        <f t="shared" si="8"/>
        <v>1117</v>
      </c>
      <c r="AA7" s="15">
        <f t="shared" si="8"/>
        <v>1164</v>
      </c>
      <c r="AB7" s="15">
        <f t="shared" si="8"/>
        <v>1213</v>
      </c>
      <c r="AC7" s="15">
        <f t="shared" si="8"/>
        <v>1264</v>
      </c>
      <c r="AD7" s="15">
        <f t="shared" si="8"/>
        <v>1317</v>
      </c>
      <c r="AE7" s="15">
        <f t="shared" si="8"/>
        <v>1372</v>
      </c>
      <c r="AF7" s="15">
        <f t="shared" si="8"/>
        <v>1429</v>
      </c>
      <c r="AG7" s="15">
        <f t="shared" si="8"/>
        <v>1488</v>
      </c>
    </row>
    <row r="8" spans="1:33" ht="15.75" thickTop="1" x14ac:dyDescent="0.25">
      <c r="A8">
        <f t="shared" si="5"/>
        <v>588</v>
      </c>
      <c r="B8" s="12">
        <f t="shared" si="6"/>
        <v>14</v>
      </c>
      <c r="C8" s="15">
        <f t="shared" si="7"/>
        <v>588</v>
      </c>
      <c r="D8" s="2">
        <f t="shared" si="7"/>
        <v>589</v>
      </c>
      <c r="E8" s="15">
        <f t="shared" si="7"/>
        <v>592</v>
      </c>
      <c r="F8" s="15">
        <f t="shared" si="7"/>
        <v>597</v>
      </c>
      <c r="G8" s="5">
        <f t="shared" si="7"/>
        <v>604</v>
      </c>
      <c r="H8" s="15">
        <f t="shared" si="7"/>
        <v>613</v>
      </c>
      <c r="I8" s="15">
        <f t="shared" si="7"/>
        <v>624</v>
      </c>
      <c r="J8" s="2">
        <f t="shared" si="7"/>
        <v>637</v>
      </c>
      <c r="K8" s="15">
        <f t="shared" si="7"/>
        <v>652</v>
      </c>
      <c r="L8" s="15">
        <f t="shared" si="7"/>
        <v>669</v>
      </c>
      <c r="M8" s="5">
        <f t="shared" si="7"/>
        <v>688</v>
      </c>
      <c r="N8" s="15">
        <f t="shared" si="7"/>
        <v>709</v>
      </c>
      <c r="O8" s="15">
        <f t="shared" si="7"/>
        <v>732</v>
      </c>
      <c r="P8" s="15">
        <f t="shared" si="7"/>
        <v>757</v>
      </c>
      <c r="Q8" s="15">
        <f t="shared" si="7"/>
        <v>784</v>
      </c>
      <c r="R8" s="15">
        <f t="shared" si="7"/>
        <v>813</v>
      </c>
      <c r="S8" s="15">
        <f t="shared" si="8"/>
        <v>844</v>
      </c>
      <c r="T8" s="15">
        <f t="shared" si="8"/>
        <v>877</v>
      </c>
      <c r="U8" s="15">
        <f t="shared" si="8"/>
        <v>912</v>
      </c>
      <c r="V8" s="15">
        <f t="shared" si="8"/>
        <v>949</v>
      </c>
      <c r="W8" s="15">
        <f t="shared" si="8"/>
        <v>988</v>
      </c>
      <c r="X8" s="15">
        <f t="shared" si="8"/>
        <v>1029</v>
      </c>
      <c r="Y8" s="15">
        <f t="shared" si="8"/>
        <v>1072</v>
      </c>
      <c r="Z8" s="15">
        <f t="shared" si="8"/>
        <v>1117</v>
      </c>
      <c r="AA8" s="15">
        <f t="shared" si="8"/>
        <v>1164</v>
      </c>
      <c r="AB8" s="15">
        <f t="shared" si="8"/>
        <v>1213</v>
      </c>
      <c r="AC8" s="15">
        <f t="shared" si="8"/>
        <v>1264</v>
      </c>
      <c r="AD8" s="15">
        <f t="shared" si="8"/>
        <v>1317</v>
      </c>
      <c r="AE8" s="15">
        <f t="shared" si="8"/>
        <v>1372</v>
      </c>
      <c r="AF8" s="15">
        <f t="shared" si="8"/>
        <v>1429</v>
      </c>
      <c r="AG8" s="15">
        <f t="shared" si="8"/>
        <v>1488</v>
      </c>
    </row>
    <row r="9" spans="1:33" ht="15.75" thickBot="1" x14ac:dyDescent="0.3">
      <c r="A9">
        <f t="shared" si="5"/>
        <v>507</v>
      </c>
      <c r="B9" s="12">
        <f t="shared" si="6"/>
        <v>13</v>
      </c>
      <c r="C9" s="21">
        <f t="shared" si="7"/>
        <v>507</v>
      </c>
      <c r="D9" s="3">
        <f t="shared" si="7"/>
        <v>508</v>
      </c>
      <c r="E9" s="15">
        <f t="shared" si="7"/>
        <v>511</v>
      </c>
      <c r="F9" s="15">
        <f t="shared" si="7"/>
        <v>516</v>
      </c>
      <c r="G9" s="2">
        <f t="shared" si="7"/>
        <v>523</v>
      </c>
      <c r="H9" s="8">
        <f t="shared" si="7"/>
        <v>532</v>
      </c>
      <c r="I9" s="1">
        <f t="shared" si="7"/>
        <v>543</v>
      </c>
      <c r="J9" s="3">
        <f t="shared" si="7"/>
        <v>556</v>
      </c>
      <c r="K9" s="15">
        <f t="shared" si="7"/>
        <v>571</v>
      </c>
      <c r="L9" s="15">
        <f t="shared" si="7"/>
        <v>588</v>
      </c>
      <c r="M9" s="2">
        <f t="shared" si="7"/>
        <v>607</v>
      </c>
      <c r="N9" s="8">
        <f t="shared" si="7"/>
        <v>628</v>
      </c>
      <c r="O9" s="1">
        <f t="shared" si="7"/>
        <v>651</v>
      </c>
      <c r="P9" s="15">
        <f t="shared" si="7"/>
        <v>676</v>
      </c>
      <c r="Q9" s="15">
        <f t="shared" si="7"/>
        <v>703</v>
      </c>
      <c r="R9" s="15">
        <f t="shared" si="7"/>
        <v>732</v>
      </c>
      <c r="S9" s="15">
        <f t="shared" si="8"/>
        <v>763</v>
      </c>
      <c r="T9" s="15">
        <f t="shared" si="8"/>
        <v>796</v>
      </c>
      <c r="U9" s="15">
        <f t="shared" si="8"/>
        <v>831</v>
      </c>
      <c r="V9" s="15">
        <f t="shared" si="8"/>
        <v>868</v>
      </c>
      <c r="W9" s="15">
        <f t="shared" si="8"/>
        <v>907</v>
      </c>
      <c r="X9" s="15">
        <f t="shared" si="8"/>
        <v>948</v>
      </c>
      <c r="Y9" s="15">
        <f t="shared" si="8"/>
        <v>991</v>
      </c>
      <c r="Z9" s="15">
        <f t="shared" si="8"/>
        <v>1036</v>
      </c>
      <c r="AA9" s="15">
        <f t="shared" si="8"/>
        <v>1083</v>
      </c>
      <c r="AB9" s="15">
        <f t="shared" si="8"/>
        <v>1132</v>
      </c>
      <c r="AC9" s="15">
        <f t="shared" si="8"/>
        <v>1183</v>
      </c>
      <c r="AD9" s="15">
        <f t="shared" si="8"/>
        <v>1236</v>
      </c>
      <c r="AE9" s="15">
        <f t="shared" si="8"/>
        <v>1291</v>
      </c>
      <c r="AF9" s="15">
        <f t="shared" si="8"/>
        <v>1348</v>
      </c>
      <c r="AG9" s="15">
        <f t="shared" si="8"/>
        <v>1407</v>
      </c>
    </row>
    <row r="10" spans="1:33" ht="16.5" thickTop="1" thickBot="1" x14ac:dyDescent="0.3">
      <c r="A10">
        <f t="shared" si="5"/>
        <v>507</v>
      </c>
      <c r="B10" s="12">
        <f t="shared" si="6"/>
        <v>13</v>
      </c>
      <c r="C10" s="20">
        <f t="shared" si="7"/>
        <v>507</v>
      </c>
      <c r="D10" s="1">
        <f t="shared" si="7"/>
        <v>508</v>
      </c>
      <c r="E10" s="15">
        <f t="shared" si="7"/>
        <v>511</v>
      </c>
      <c r="F10" s="15">
        <f t="shared" si="7"/>
        <v>516</v>
      </c>
      <c r="G10" s="15">
        <f t="shared" si="7"/>
        <v>523</v>
      </c>
      <c r="H10" s="3">
        <f t="shared" si="7"/>
        <v>532</v>
      </c>
      <c r="I10" s="7">
        <f t="shared" si="7"/>
        <v>543</v>
      </c>
      <c r="J10" s="8">
        <f t="shared" si="7"/>
        <v>556</v>
      </c>
      <c r="K10" s="15">
        <f t="shared" si="7"/>
        <v>571</v>
      </c>
      <c r="L10" s="15">
        <f t="shared" si="7"/>
        <v>588</v>
      </c>
      <c r="M10" s="15">
        <f t="shared" si="7"/>
        <v>607</v>
      </c>
      <c r="N10" s="3">
        <f t="shared" si="7"/>
        <v>628</v>
      </c>
      <c r="O10" s="7">
        <f t="shared" si="7"/>
        <v>651</v>
      </c>
      <c r="P10" s="8">
        <f t="shared" si="7"/>
        <v>676</v>
      </c>
      <c r="Q10" s="15">
        <f t="shared" si="7"/>
        <v>703</v>
      </c>
      <c r="R10" s="15">
        <f t="shared" si="7"/>
        <v>732</v>
      </c>
      <c r="S10" s="15">
        <f t="shared" si="8"/>
        <v>763</v>
      </c>
      <c r="T10" s="15">
        <f t="shared" si="8"/>
        <v>796</v>
      </c>
      <c r="U10" s="15">
        <f t="shared" si="8"/>
        <v>831</v>
      </c>
      <c r="V10" s="15">
        <f t="shared" si="8"/>
        <v>868</v>
      </c>
      <c r="W10" s="15">
        <f t="shared" si="8"/>
        <v>907</v>
      </c>
      <c r="X10" s="15">
        <f t="shared" si="8"/>
        <v>948</v>
      </c>
      <c r="Y10" s="15">
        <f t="shared" si="8"/>
        <v>991</v>
      </c>
      <c r="Z10" s="15">
        <f t="shared" si="8"/>
        <v>1036</v>
      </c>
      <c r="AA10" s="15">
        <f t="shared" si="8"/>
        <v>1083</v>
      </c>
      <c r="AB10" s="15">
        <f t="shared" si="8"/>
        <v>1132</v>
      </c>
      <c r="AC10" s="15">
        <f t="shared" si="8"/>
        <v>1183</v>
      </c>
      <c r="AD10" s="15">
        <f t="shared" si="8"/>
        <v>1236</v>
      </c>
      <c r="AE10" s="15">
        <f t="shared" si="8"/>
        <v>1291</v>
      </c>
      <c r="AF10" s="15">
        <f t="shared" si="8"/>
        <v>1348</v>
      </c>
      <c r="AG10" s="15">
        <f t="shared" si="8"/>
        <v>1407</v>
      </c>
    </row>
    <row r="11" spans="1:33" ht="15.75" thickTop="1" x14ac:dyDescent="0.25">
      <c r="A11">
        <f t="shared" si="5"/>
        <v>507</v>
      </c>
      <c r="B11" s="12">
        <f t="shared" si="6"/>
        <v>13</v>
      </c>
      <c r="C11" s="15">
        <f t="shared" si="7"/>
        <v>507</v>
      </c>
      <c r="D11" s="2">
        <f t="shared" si="7"/>
        <v>508</v>
      </c>
      <c r="E11" s="15">
        <f t="shared" si="7"/>
        <v>511</v>
      </c>
      <c r="F11" s="15">
        <f t="shared" si="7"/>
        <v>516</v>
      </c>
      <c r="G11" s="2">
        <f t="shared" si="7"/>
        <v>523</v>
      </c>
      <c r="H11" s="15">
        <f t="shared" si="7"/>
        <v>532</v>
      </c>
      <c r="I11" s="15">
        <f t="shared" si="7"/>
        <v>543</v>
      </c>
      <c r="J11" s="5">
        <f t="shared" si="7"/>
        <v>556</v>
      </c>
      <c r="K11" s="15">
        <f t="shared" si="7"/>
        <v>571</v>
      </c>
      <c r="L11" s="15">
        <f t="shared" si="7"/>
        <v>588</v>
      </c>
      <c r="M11" s="2">
        <f t="shared" si="7"/>
        <v>607</v>
      </c>
      <c r="N11" s="15">
        <f t="shared" si="7"/>
        <v>628</v>
      </c>
      <c r="O11" s="15">
        <f t="shared" si="7"/>
        <v>651</v>
      </c>
      <c r="P11" s="5">
        <f t="shared" si="7"/>
        <v>676</v>
      </c>
      <c r="Q11" s="15">
        <f t="shared" si="7"/>
        <v>703</v>
      </c>
      <c r="R11" s="15">
        <f t="shared" si="7"/>
        <v>732</v>
      </c>
      <c r="S11" s="15">
        <f t="shared" si="8"/>
        <v>763</v>
      </c>
      <c r="T11" s="15">
        <f t="shared" si="8"/>
        <v>796</v>
      </c>
      <c r="U11" s="15">
        <f t="shared" si="8"/>
        <v>831</v>
      </c>
      <c r="V11" s="15">
        <f t="shared" si="8"/>
        <v>868</v>
      </c>
      <c r="W11" s="15">
        <f t="shared" si="8"/>
        <v>907</v>
      </c>
      <c r="X11" s="15">
        <f t="shared" si="8"/>
        <v>948</v>
      </c>
      <c r="Y11" s="15">
        <f t="shared" si="8"/>
        <v>991</v>
      </c>
      <c r="Z11" s="15">
        <f t="shared" si="8"/>
        <v>1036</v>
      </c>
      <c r="AA11" s="15">
        <f t="shared" si="8"/>
        <v>1083</v>
      </c>
      <c r="AB11" s="15">
        <f t="shared" si="8"/>
        <v>1132</v>
      </c>
      <c r="AC11" s="15">
        <f t="shared" si="8"/>
        <v>1183</v>
      </c>
      <c r="AD11" s="15">
        <f t="shared" si="8"/>
        <v>1236</v>
      </c>
      <c r="AE11" s="15">
        <f t="shared" si="8"/>
        <v>1291</v>
      </c>
      <c r="AF11" s="15">
        <f t="shared" si="8"/>
        <v>1348</v>
      </c>
      <c r="AG11" s="15">
        <f t="shared" si="8"/>
        <v>1407</v>
      </c>
    </row>
    <row r="12" spans="1:33" ht="15.75" thickBot="1" x14ac:dyDescent="0.3">
      <c r="A12">
        <f t="shared" si="5"/>
        <v>432</v>
      </c>
      <c r="B12" s="12">
        <f t="shared" si="6"/>
        <v>12</v>
      </c>
      <c r="C12" s="15">
        <f t="shared" si="7"/>
        <v>432</v>
      </c>
      <c r="D12" s="2">
        <f t="shared" si="7"/>
        <v>433</v>
      </c>
      <c r="E12" s="1">
        <f t="shared" si="7"/>
        <v>436</v>
      </c>
      <c r="F12" s="1">
        <f t="shared" si="7"/>
        <v>441</v>
      </c>
      <c r="G12" s="3">
        <f t="shared" si="7"/>
        <v>448</v>
      </c>
      <c r="H12" s="15">
        <f t="shared" si="7"/>
        <v>457</v>
      </c>
      <c r="I12" s="15">
        <f t="shared" si="7"/>
        <v>468</v>
      </c>
      <c r="J12" s="2">
        <f t="shared" si="7"/>
        <v>481</v>
      </c>
      <c r="K12" s="8">
        <f t="shared" si="7"/>
        <v>496</v>
      </c>
      <c r="L12" s="1">
        <f t="shared" si="7"/>
        <v>513</v>
      </c>
      <c r="M12" s="3">
        <f t="shared" si="7"/>
        <v>532</v>
      </c>
      <c r="N12" s="15">
        <f t="shared" si="7"/>
        <v>553</v>
      </c>
      <c r="O12" s="15">
        <f t="shared" si="7"/>
        <v>576</v>
      </c>
      <c r="P12" s="2">
        <f t="shared" si="7"/>
        <v>601</v>
      </c>
      <c r="Q12" s="8">
        <f t="shared" si="7"/>
        <v>628</v>
      </c>
      <c r="R12" s="1">
        <f t="shared" si="7"/>
        <v>657</v>
      </c>
      <c r="S12" s="15">
        <f t="shared" si="8"/>
        <v>688</v>
      </c>
      <c r="T12" s="15">
        <f t="shared" si="8"/>
        <v>721</v>
      </c>
      <c r="U12" s="15">
        <f t="shared" si="8"/>
        <v>756</v>
      </c>
      <c r="V12" s="15">
        <f t="shared" si="8"/>
        <v>793</v>
      </c>
      <c r="W12" s="15">
        <f t="shared" si="8"/>
        <v>832</v>
      </c>
      <c r="X12" s="15">
        <f t="shared" si="8"/>
        <v>873</v>
      </c>
      <c r="Y12" s="15">
        <f t="shared" si="8"/>
        <v>916</v>
      </c>
      <c r="Z12" s="15">
        <f t="shared" si="8"/>
        <v>961</v>
      </c>
      <c r="AA12" s="15">
        <f t="shared" si="8"/>
        <v>1008</v>
      </c>
      <c r="AB12" s="15">
        <f t="shared" si="8"/>
        <v>1057</v>
      </c>
      <c r="AC12" s="15">
        <f t="shared" si="8"/>
        <v>1108</v>
      </c>
      <c r="AD12" s="15">
        <f t="shared" si="8"/>
        <v>1161</v>
      </c>
      <c r="AE12" s="15">
        <f t="shared" si="8"/>
        <v>1216</v>
      </c>
      <c r="AF12" s="15">
        <f t="shared" si="8"/>
        <v>1273</v>
      </c>
      <c r="AG12" s="15">
        <f t="shared" si="8"/>
        <v>1332</v>
      </c>
    </row>
    <row r="13" spans="1:33" ht="16.5" thickTop="1" thickBot="1" x14ac:dyDescent="0.3">
      <c r="A13">
        <f t="shared" si="5"/>
        <v>432</v>
      </c>
      <c r="B13" s="12">
        <f t="shared" si="6"/>
        <v>12</v>
      </c>
      <c r="C13" s="15">
        <f t="shared" si="7"/>
        <v>432</v>
      </c>
      <c r="D13" s="15">
        <f t="shared" si="7"/>
        <v>433</v>
      </c>
      <c r="E13" s="3">
        <f t="shared" si="7"/>
        <v>436</v>
      </c>
      <c r="F13" s="7">
        <f t="shared" si="7"/>
        <v>441</v>
      </c>
      <c r="G13" s="8">
        <f t="shared" si="7"/>
        <v>448</v>
      </c>
      <c r="H13" s="15">
        <f t="shared" si="7"/>
        <v>457</v>
      </c>
      <c r="I13" s="15">
        <f t="shared" si="7"/>
        <v>468</v>
      </c>
      <c r="J13" s="15">
        <f t="shared" si="7"/>
        <v>481</v>
      </c>
      <c r="K13" s="3">
        <f t="shared" si="7"/>
        <v>496</v>
      </c>
      <c r="L13" s="7">
        <f t="shared" si="7"/>
        <v>513</v>
      </c>
      <c r="M13" s="8">
        <f t="shared" si="7"/>
        <v>532</v>
      </c>
      <c r="N13" s="15">
        <f t="shared" si="7"/>
        <v>553</v>
      </c>
      <c r="O13" s="15">
        <f t="shared" si="7"/>
        <v>576</v>
      </c>
      <c r="P13" s="15">
        <f t="shared" si="7"/>
        <v>601</v>
      </c>
      <c r="Q13" s="3">
        <f t="shared" si="7"/>
        <v>628</v>
      </c>
      <c r="R13" s="7">
        <f t="shared" si="7"/>
        <v>657</v>
      </c>
      <c r="S13" s="8">
        <f t="shared" si="8"/>
        <v>688</v>
      </c>
      <c r="T13" s="15">
        <f t="shared" si="8"/>
        <v>721</v>
      </c>
      <c r="U13" s="15">
        <f t="shared" si="8"/>
        <v>756</v>
      </c>
      <c r="V13" s="15">
        <f t="shared" si="8"/>
        <v>793</v>
      </c>
      <c r="W13" s="15">
        <f t="shared" si="8"/>
        <v>832</v>
      </c>
      <c r="X13" s="15">
        <f t="shared" si="8"/>
        <v>873</v>
      </c>
      <c r="Y13" s="15">
        <f t="shared" si="8"/>
        <v>916</v>
      </c>
      <c r="Z13" s="15">
        <f t="shared" si="8"/>
        <v>961</v>
      </c>
      <c r="AA13" s="15">
        <f t="shared" si="8"/>
        <v>1008</v>
      </c>
      <c r="AB13" s="15">
        <f t="shared" si="8"/>
        <v>1057</v>
      </c>
      <c r="AC13" s="15">
        <f t="shared" si="8"/>
        <v>1108</v>
      </c>
      <c r="AD13" s="15">
        <f t="shared" si="8"/>
        <v>1161</v>
      </c>
      <c r="AE13" s="15">
        <f t="shared" si="8"/>
        <v>1216</v>
      </c>
      <c r="AF13" s="15">
        <f t="shared" si="8"/>
        <v>1273</v>
      </c>
      <c r="AG13" s="15">
        <f t="shared" si="8"/>
        <v>1332</v>
      </c>
    </row>
    <row r="14" spans="1:33" ht="15.75" thickTop="1" x14ac:dyDescent="0.25">
      <c r="A14">
        <f t="shared" si="5"/>
        <v>432</v>
      </c>
      <c r="B14" s="12">
        <f t="shared" si="6"/>
        <v>12</v>
      </c>
      <c r="C14" s="15">
        <f t="shared" si="7"/>
        <v>432</v>
      </c>
      <c r="D14" s="2">
        <f t="shared" si="7"/>
        <v>433</v>
      </c>
      <c r="E14" s="15">
        <f t="shared" si="7"/>
        <v>436</v>
      </c>
      <c r="F14" s="15">
        <f t="shared" si="7"/>
        <v>441</v>
      </c>
      <c r="G14" s="5">
        <f t="shared" si="7"/>
        <v>448</v>
      </c>
      <c r="H14" s="15">
        <f t="shared" si="7"/>
        <v>457</v>
      </c>
      <c r="I14" s="15">
        <f t="shared" si="7"/>
        <v>468</v>
      </c>
      <c r="J14" s="2">
        <f t="shared" si="7"/>
        <v>481</v>
      </c>
      <c r="K14" s="15">
        <f t="shared" si="7"/>
        <v>496</v>
      </c>
      <c r="L14" s="15">
        <f t="shared" si="7"/>
        <v>513</v>
      </c>
      <c r="M14" s="5">
        <f t="shared" si="7"/>
        <v>532</v>
      </c>
      <c r="N14" s="15">
        <f t="shared" si="7"/>
        <v>553</v>
      </c>
      <c r="O14" s="15">
        <f t="shared" si="7"/>
        <v>576</v>
      </c>
      <c r="P14" s="2">
        <f t="shared" si="7"/>
        <v>601</v>
      </c>
      <c r="Q14" s="15">
        <f t="shared" si="7"/>
        <v>628</v>
      </c>
      <c r="R14" s="15">
        <f t="shared" si="7"/>
        <v>657</v>
      </c>
      <c r="S14" s="5">
        <f t="shared" si="8"/>
        <v>688</v>
      </c>
      <c r="T14" s="15">
        <f t="shared" si="8"/>
        <v>721</v>
      </c>
      <c r="U14" s="15">
        <f t="shared" si="8"/>
        <v>756</v>
      </c>
      <c r="V14" s="15">
        <f t="shared" si="8"/>
        <v>793</v>
      </c>
      <c r="W14" s="15">
        <f t="shared" si="8"/>
        <v>832</v>
      </c>
      <c r="X14" s="15">
        <f t="shared" si="8"/>
        <v>873</v>
      </c>
      <c r="Y14" s="15">
        <f t="shared" si="8"/>
        <v>916</v>
      </c>
      <c r="Z14" s="15">
        <f t="shared" si="8"/>
        <v>961</v>
      </c>
      <c r="AA14" s="15">
        <f t="shared" si="8"/>
        <v>1008</v>
      </c>
      <c r="AB14" s="15">
        <f t="shared" si="8"/>
        <v>1057</v>
      </c>
      <c r="AC14" s="15">
        <f t="shared" si="8"/>
        <v>1108</v>
      </c>
      <c r="AD14" s="15">
        <f t="shared" si="8"/>
        <v>1161</v>
      </c>
      <c r="AE14" s="15">
        <f t="shared" si="8"/>
        <v>1216</v>
      </c>
      <c r="AF14" s="15">
        <f t="shared" si="8"/>
        <v>1273</v>
      </c>
      <c r="AG14" s="15">
        <f t="shared" si="8"/>
        <v>1332</v>
      </c>
    </row>
    <row r="15" spans="1:33" ht="15.75" thickBot="1" x14ac:dyDescent="0.3">
      <c r="A15">
        <f t="shared" si="5"/>
        <v>363</v>
      </c>
      <c r="B15" s="12">
        <f t="shared" si="6"/>
        <v>11</v>
      </c>
      <c r="C15" s="21">
        <f t="shared" si="7"/>
        <v>363</v>
      </c>
      <c r="D15" s="3">
        <f t="shared" si="7"/>
        <v>364</v>
      </c>
      <c r="E15" s="15">
        <f t="shared" si="7"/>
        <v>367</v>
      </c>
      <c r="F15" s="15">
        <f t="shared" si="7"/>
        <v>372</v>
      </c>
      <c r="G15" s="2">
        <f t="shared" si="7"/>
        <v>379</v>
      </c>
      <c r="H15" s="8">
        <f t="shared" si="7"/>
        <v>388</v>
      </c>
      <c r="I15" s="1">
        <f t="shared" si="7"/>
        <v>399</v>
      </c>
      <c r="J15" s="3">
        <f t="shared" si="7"/>
        <v>412</v>
      </c>
      <c r="K15" s="15">
        <f t="shared" si="7"/>
        <v>427</v>
      </c>
      <c r="L15" s="15">
        <f t="shared" si="7"/>
        <v>444</v>
      </c>
      <c r="M15" s="2">
        <f t="shared" si="7"/>
        <v>463</v>
      </c>
      <c r="N15" s="8">
        <f t="shared" si="7"/>
        <v>484</v>
      </c>
      <c r="O15" s="1">
        <f t="shared" si="7"/>
        <v>507</v>
      </c>
      <c r="P15" s="3">
        <f t="shared" si="7"/>
        <v>532</v>
      </c>
      <c r="Q15" s="15">
        <f t="shared" si="7"/>
        <v>559</v>
      </c>
      <c r="R15" s="15">
        <f t="shared" si="7"/>
        <v>588</v>
      </c>
      <c r="S15" s="2">
        <f t="shared" si="8"/>
        <v>619</v>
      </c>
      <c r="T15" s="8">
        <f t="shared" si="8"/>
        <v>652</v>
      </c>
      <c r="U15" s="1">
        <f t="shared" si="8"/>
        <v>687</v>
      </c>
      <c r="V15" s="15">
        <f t="shared" si="8"/>
        <v>724</v>
      </c>
      <c r="W15" s="15">
        <f t="shared" si="8"/>
        <v>763</v>
      </c>
      <c r="X15" s="15">
        <f t="shared" si="8"/>
        <v>804</v>
      </c>
      <c r="Y15" s="15">
        <f t="shared" si="8"/>
        <v>847</v>
      </c>
      <c r="Z15" s="15">
        <f t="shared" si="8"/>
        <v>892</v>
      </c>
      <c r="AA15" s="15">
        <f t="shared" si="8"/>
        <v>939</v>
      </c>
      <c r="AB15" s="15">
        <f t="shared" si="8"/>
        <v>988</v>
      </c>
      <c r="AC15" s="15">
        <f t="shared" si="8"/>
        <v>1039</v>
      </c>
      <c r="AD15" s="15">
        <f t="shared" si="8"/>
        <v>1092</v>
      </c>
      <c r="AE15" s="15">
        <f t="shared" si="8"/>
        <v>1147</v>
      </c>
      <c r="AF15" s="15">
        <f t="shared" si="8"/>
        <v>1204</v>
      </c>
      <c r="AG15" s="15">
        <f t="shared" si="8"/>
        <v>1263</v>
      </c>
    </row>
    <row r="16" spans="1:33" ht="16.5" thickTop="1" thickBot="1" x14ac:dyDescent="0.3">
      <c r="A16">
        <f t="shared" si="5"/>
        <v>363</v>
      </c>
      <c r="B16" s="12">
        <f t="shared" si="6"/>
        <v>11</v>
      </c>
      <c r="C16" s="20">
        <f t="shared" si="7"/>
        <v>363</v>
      </c>
      <c r="D16" s="1">
        <f t="shared" si="7"/>
        <v>364</v>
      </c>
      <c r="E16" s="15">
        <f t="shared" si="7"/>
        <v>367</v>
      </c>
      <c r="F16" s="15">
        <f t="shared" si="7"/>
        <v>372</v>
      </c>
      <c r="G16" s="15">
        <f t="shared" si="7"/>
        <v>379</v>
      </c>
      <c r="H16" s="3">
        <f t="shared" si="7"/>
        <v>388</v>
      </c>
      <c r="I16" s="7">
        <f t="shared" si="7"/>
        <v>399</v>
      </c>
      <c r="J16" s="8">
        <f t="shared" si="7"/>
        <v>412</v>
      </c>
      <c r="K16" s="15">
        <f t="shared" si="7"/>
        <v>427</v>
      </c>
      <c r="L16" s="15">
        <f t="shared" si="7"/>
        <v>444</v>
      </c>
      <c r="M16" s="15">
        <f t="shared" si="7"/>
        <v>463</v>
      </c>
      <c r="N16" s="3">
        <f t="shared" si="7"/>
        <v>484</v>
      </c>
      <c r="O16" s="7">
        <f t="shared" si="7"/>
        <v>507</v>
      </c>
      <c r="P16" s="8">
        <f t="shared" si="7"/>
        <v>532</v>
      </c>
      <c r="Q16" s="15">
        <f t="shared" si="7"/>
        <v>559</v>
      </c>
      <c r="R16" s="15">
        <f t="shared" si="7"/>
        <v>588</v>
      </c>
      <c r="S16" s="15">
        <f t="shared" si="8"/>
        <v>619</v>
      </c>
      <c r="T16" s="3">
        <f t="shared" si="8"/>
        <v>652</v>
      </c>
      <c r="U16" s="7">
        <f t="shared" si="8"/>
        <v>687</v>
      </c>
      <c r="V16" s="8">
        <f t="shared" si="8"/>
        <v>724</v>
      </c>
      <c r="W16" s="15">
        <f t="shared" si="8"/>
        <v>763</v>
      </c>
      <c r="X16" s="15">
        <f t="shared" si="8"/>
        <v>804</v>
      </c>
      <c r="Y16" s="15">
        <f t="shared" si="8"/>
        <v>847</v>
      </c>
      <c r="Z16" s="15">
        <f t="shared" si="8"/>
        <v>892</v>
      </c>
      <c r="AA16" s="15">
        <f t="shared" si="8"/>
        <v>939</v>
      </c>
      <c r="AB16" s="15">
        <f t="shared" si="8"/>
        <v>988</v>
      </c>
      <c r="AC16" s="15">
        <f t="shared" si="8"/>
        <v>1039</v>
      </c>
      <c r="AD16" s="15">
        <f t="shared" si="8"/>
        <v>1092</v>
      </c>
      <c r="AE16" s="15">
        <f t="shared" si="8"/>
        <v>1147</v>
      </c>
      <c r="AF16" s="15">
        <f t="shared" si="8"/>
        <v>1204</v>
      </c>
      <c r="AG16" s="15">
        <f t="shared" si="8"/>
        <v>1263</v>
      </c>
    </row>
    <row r="17" spans="1:33" ht="15.75" thickTop="1" x14ac:dyDescent="0.25">
      <c r="A17">
        <f t="shared" si="5"/>
        <v>363</v>
      </c>
      <c r="B17" s="12">
        <f t="shared" si="6"/>
        <v>11</v>
      </c>
      <c r="C17" s="15">
        <f t="shared" si="7"/>
        <v>363</v>
      </c>
      <c r="D17" s="2">
        <f t="shared" si="7"/>
        <v>364</v>
      </c>
      <c r="E17" s="15">
        <f t="shared" si="7"/>
        <v>367</v>
      </c>
      <c r="F17" s="15">
        <f t="shared" si="7"/>
        <v>372</v>
      </c>
      <c r="G17" s="2">
        <f t="shared" si="7"/>
        <v>379</v>
      </c>
      <c r="H17" s="15">
        <f t="shared" si="7"/>
        <v>388</v>
      </c>
      <c r="I17" s="15">
        <f t="shared" si="7"/>
        <v>399</v>
      </c>
      <c r="J17" s="5">
        <f t="shared" si="7"/>
        <v>412</v>
      </c>
      <c r="K17" s="15">
        <f t="shared" si="7"/>
        <v>427</v>
      </c>
      <c r="L17" s="15">
        <f t="shared" si="7"/>
        <v>444</v>
      </c>
      <c r="M17" s="2">
        <f t="shared" si="7"/>
        <v>463</v>
      </c>
      <c r="N17" s="15">
        <f t="shared" si="7"/>
        <v>484</v>
      </c>
      <c r="O17" s="15">
        <f t="shared" si="7"/>
        <v>507</v>
      </c>
      <c r="P17" s="5">
        <f t="shared" si="7"/>
        <v>532</v>
      </c>
      <c r="Q17" s="15">
        <f t="shared" si="7"/>
        <v>559</v>
      </c>
      <c r="R17" s="15">
        <f t="shared" si="7"/>
        <v>588</v>
      </c>
      <c r="S17" s="2">
        <f t="shared" si="8"/>
        <v>619</v>
      </c>
      <c r="T17" s="15">
        <f t="shared" si="8"/>
        <v>652</v>
      </c>
      <c r="U17" s="15">
        <f t="shared" si="8"/>
        <v>687</v>
      </c>
      <c r="V17" s="5">
        <f t="shared" si="8"/>
        <v>724</v>
      </c>
      <c r="W17" s="15">
        <f t="shared" si="8"/>
        <v>763</v>
      </c>
      <c r="X17" s="15">
        <f t="shared" si="8"/>
        <v>804</v>
      </c>
      <c r="Y17" s="15">
        <f t="shared" si="8"/>
        <v>847</v>
      </c>
      <c r="Z17" s="15">
        <f t="shared" si="8"/>
        <v>892</v>
      </c>
      <c r="AA17" s="15">
        <f t="shared" si="8"/>
        <v>939</v>
      </c>
      <c r="AB17" s="15">
        <f t="shared" si="8"/>
        <v>988</v>
      </c>
      <c r="AC17" s="15">
        <f t="shared" si="8"/>
        <v>1039</v>
      </c>
      <c r="AD17" s="15">
        <f t="shared" si="8"/>
        <v>1092</v>
      </c>
      <c r="AE17" s="15">
        <f t="shared" si="8"/>
        <v>1147</v>
      </c>
      <c r="AF17" s="15">
        <f t="shared" si="8"/>
        <v>1204</v>
      </c>
      <c r="AG17" s="15">
        <f t="shared" si="8"/>
        <v>1263</v>
      </c>
    </row>
    <row r="18" spans="1:33" ht="15.75" thickBot="1" x14ac:dyDescent="0.3">
      <c r="A18">
        <f t="shared" ref="A18:A50" si="9">3*B18*B18</f>
        <v>300</v>
      </c>
      <c r="B18" s="12">
        <f t="shared" ref="B18:B43" si="10">B21+1</f>
        <v>10</v>
      </c>
      <c r="C18" s="15">
        <f t="shared" ref="C18:O31" si="11">C$1+$A18</f>
        <v>300</v>
      </c>
      <c r="D18" s="2">
        <f t="shared" si="11"/>
        <v>301</v>
      </c>
      <c r="E18" s="1">
        <f t="shared" si="11"/>
        <v>304</v>
      </c>
      <c r="F18" s="1">
        <f t="shared" si="11"/>
        <v>309</v>
      </c>
      <c r="G18" s="3">
        <f t="shared" si="11"/>
        <v>316</v>
      </c>
      <c r="H18" s="15">
        <f t="shared" si="11"/>
        <v>325</v>
      </c>
      <c r="I18" s="15">
        <f t="shared" si="11"/>
        <v>336</v>
      </c>
      <c r="J18" s="2">
        <f t="shared" si="11"/>
        <v>349</v>
      </c>
      <c r="K18" s="8">
        <f t="shared" si="11"/>
        <v>364</v>
      </c>
      <c r="L18" s="1">
        <f t="shared" si="11"/>
        <v>381</v>
      </c>
      <c r="M18" s="3">
        <f t="shared" si="11"/>
        <v>400</v>
      </c>
      <c r="N18" s="15">
        <f t="shared" si="11"/>
        <v>421</v>
      </c>
      <c r="O18" s="15">
        <f t="shared" si="11"/>
        <v>444</v>
      </c>
      <c r="P18" s="2">
        <f t="shared" ref="P18:AE31" si="12">P$1+$A18</f>
        <v>469</v>
      </c>
      <c r="Q18" s="8">
        <f t="shared" si="12"/>
        <v>496</v>
      </c>
      <c r="R18" s="1">
        <f t="shared" si="12"/>
        <v>525</v>
      </c>
      <c r="S18" s="3">
        <f t="shared" si="12"/>
        <v>556</v>
      </c>
      <c r="T18" s="15">
        <f t="shared" si="12"/>
        <v>589</v>
      </c>
      <c r="U18" s="15">
        <f t="shared" si="12"/>
        <v>624</v>
      </c>
      <c r="V18" s="2">
        <f t="shared" si="12"/>
        <v>661</v>
      </c>
      <c r="W18" s="8">
        <f t="shared" si="12"/>
        <v>700</v>
      </c>
      <c r="X18" s="1">
        <f t="shared" si="12"/>
        <v>741</v>
      </c>
      <c r="Y18" s="15">
        <f t="shared" si="12"/>
        <v>784</v>
      </c>
      <c r="Z18" s="15">
        <f t="shared" si="12"/>
        <v>829</v>
      </c>
      <c r="AA18" s="15">
        <f t="shared" si="12"/>
        <v>876</v>
      </c>
      <c r="AB18" s="15">
        <f t="shared" si="12"/>
        <v>925</v>
      </c>
      <c r="AC18" s="15">
        <f t="shared" si="12"/>
        <v>976</v>
      </c>
      <c r="AD18" s="15">
        <f t="shared" si="12"/>
        <v>1029</v>
      </c>
      <c r="AE18" s="15">
        <f t="shared" si="12"/>
        <v>1084</v>
      </c>
      <c r="AF18" s="15">
        <f t="shared" ref="T18:AG33" si="13">AF$1+$A18</f>
        <v>1141</v>
      </c>
      <c r="AG18" s="15">
        <f t="shared" si="13"/>
        <v>1200</v>
      </c>
    </row>
    <row r="19" spans="1:33" ht="16.5" thickTop="1" thickBot="1" x14ac:dyDescent="0.3">
      <c r="A19">
        <f t="shared" si="9"/>
        <v>300</v>
      </c>
      <c r="B19" s="12">
        <f t="shared" si="10"/>
        <v>10</v>
      </c>
      <c r="C19">
        <f t="shared" si="11"/>
        <v>300</v>
      </c>
      <c r="D19">
        <f t="shared" si="11"/>
        <v>301</v>
      </c>
      <c r="E19" s="3">
        <f t="shared" si="11"/>
        <v>304</v>
      </c>
      <c r="F19" s="9">
        <f t="shared" si="11"/>
        <v>309</v>
      </c>
      <c r="G19" s="8">
        <f t="shared" si="11"/>
        <v>316</v>
      </c>
      <c r="H19">
        <f t="shared" si="11"/>
        <v>325</v>
      </c>
      <c r="I19">
        <f t="shared" si="11"/>
        <v>336</v>
      </c>
      <c r="J19">
        <f t="shared" si="11"/>
        <v>349</v>
      </c>
      <c r="K19" s="3">
        <f t="shared" si="11"/>
        <v>364</v>
      </c>
      <c r="L19" s="9">
        <f t="shared" si="11"/>
        <v>381</v>
      </c>
      <c r="M19" s="1">
        <f t="shared" si="11"/>
        <v>400</v>
      </c>
      <c r="N19">
        <f t="shared" si="11"/>
        <v>421</v>
      </c>
      <c r="O19">
        <f t="shared" si="11"/>
        <v>444</v>
      </c>
      <c r="P19">
        <f t="shared" si="12"/>
        <v>469</v>
      </c>
      <c r="Q19" s="3">
        <f t="shared" si="12"/>
        <v>496</v>
      </c>
      <c r="R19" s="9">
        <f t="shared" si="12"/>
        <v>525</v>
      </c>
      <c r="S19" s="8">
        <f t="shared" si="12"/>
        <v>556</v>
      </c>
      <c r="T19" s="15">
        <f t="shared" si="13"/>
        <v>589</v>
      </c>
      <c r="U19" s="15">
        <f t="shared" si="13"/>
        <v>624</v>
      </c>
      <c r="V19" s="15">
        <f t="shared" si="13"/>
        <v>661</v>
      </c>
      <c r="W19" s="3">
        <f t="shared" si="13"/>
        <v>700</v>
      </c>
      <c r="X19" s="9">
        <f t="shared" si="13"/>
        <v>741</v>
      </c>
      <c r="Y19" s="1">
        <f t="shared" si="13"/>
        <v>784</v>
      </c>
      <c r="Z19" s="15">
        <f t="shared" si="13"/>
        <v>829</v>
      </c>
      <c r="AA19" s="15">
        <f t="shared" si="13"/>
        <v>876</v>
      </c>
      <c r="AB19" s="15">
        <f t="shared" si="13"/>
        <v>925</v>
      </c>
      <c r="AC19" s="15">
        <f t="shared" si="13"/>
        <v>976</v>
      </c>
      <c r="AD19" s="15">
        <f t="shared" si="13"/>
        <v>1029</v>
      </c>
      <c r="AE19" s="15">
        <f t="shared" si="13"/>
        <v>1084</v>
      </c>
      <c r="AF19" s="15">
        <f t="shared" si="13"/>
        <v>1141</v>
      </c>
      <c r="AG19" s="15">
        <f t="shared" si="13"/>
        <v>1200</v>
      </c>
    </row>
    <row r="20" spans="1:33" ht="15.75" thickTop="1" x14ac:dyDescent="0.25">
      <c r="A20">
        <f t="shared" si="9"/>
        <v>300</v>
      </c>
      <c r="B20" s="12">
        <f t="shared" si="10"/>
        <v>10</v>
      </c>
      <c r="C20">
        <f t="shared" si="11"/>
        <v>300</v>
      </c>
      <c r="D20" s="2">
        <f t="shared" si="11"/>
        <v>301</v>
      </c>
      <c r="E20">
        <f t="shared" si="11"/>
        <v>304</v>
      </c>
      <c r="F20">
        <f t="shared" si="11"/>
        <v>309</v>
      </c>
      <c r="G20" s="5">
        <f t="shared" si="11"/>
        <v>316</v>
      </c>
      <c r="H20">
        <f t="shared" si="11"/>
        <v>325</v>
      </c>
      <c r="I20">
        <f t="shared" si="11"/>
        <v>336</v>
      </c>
      <c r="J20" s="2">
        <f t="shared" si="11"/>
        <v>349</v>
      </c>
      <c r="K20">
        <f t="shared" si="11"/>
        <v>364</v>
      </c>
      <c r="L20">
        <f t="shared" si="11"/>
        <v>381</v>
      </c>
      <c r="M20" s="2">
        <f t="shared" si="11"/>
        <v>400</v>
      </c>
      <c r="N20">
        <f t="shared" si="11"/>
        <v>421</v>
      </c>
      <c r="O20">
        <f t="shared" si="11"/>
        <v>444</v>
      </c>
      <c r="P20" s="2">
        <f t="shared" si="12"/>
        <v>469</v>
      </c>
      <c r="Q20">
        <f t="shared" si="12"/>
        <v>496</v>
      </c>
      <c r="R20">
        <f t="shared" si="12"/>
        <v>525</v>
      </c>
      <c r="S20" s="5">
        <f t="shared" si="12"/>
        <v>556</v>
      </c>
      <c r="T20" s="15">
        <f t="shared" si="13"/>
        <v>589</v>
      </c>
      <c r="U20" s="15">
        <f t="shared" si="13"/>
        <v>624</v>
      </c>
      <c r="V20" s="2">
        <f t="shared" si="13"/>
        <v>661</v>
      </c>
      <c r="W20" s="15">
        <f t="shared" si="13"/>
        <v>700</v>
      </c>
      <c r="X20" s="15">
        <f t="shared" si="13"/>
        <v>741</v>
      </c>
      <c r="Y20" s="2">
        <f t="shared" si="13"/>
        <v>784</v>
      </c>
      <c r="Z20" s="15">
        <f t="shared" si="13"/>
        <v>829</v>
      </c>
      <c r="AA20" s="15">
        <f t="shared" si="13"/>
        <v>876</v>
      </c>
      <c r="AB20" s="15">
        <f t="shared" si="13"/>
        <v>925</v>
      </c>
      <c r="AC20" s="15">
        <f t="shared" si="13"/>
        <v>976</v>
      </c>
      <c r="AD20" s="15">
        <f t="shared" si="13"/>
        <v>1029</v>
      </c>
      <c r="AE20" s="15">
        <f t="shared" si="13"/>
        <v>1084</v>
      </c>
      <c r="AF20" s="15">
        <f t="shared" si="13"/>
        <v>1141</v>
      </c>
      <c r="AG20" s="15">
        <f t="shared" si="13"/>
        <v>1200</v>
      </c>
    </row>
    <row r="21" spans="1:33" ht="15.75" thickBot="1" x14ac:dyDescent="0.3">
      <c r="A21">
        <f t="shared" si="9"/>
        <v>243</v>
      </c>
      <c r="B21" s="12">
        <f t="shared" si="10"/>
        <v>9</v>
      </c>
      <c r="C21" s="1">
        <f t="shared" si="11"/>
        <v>243</v>
      </c>
      <c r="D21" s="3">
        <f t="shared" si="11"/>
        <v>244</v>
      </c>
      <c r="E21">
        <f t="shared" si="11"/>
        <v>247</v>
      </c>
      <c r="F21">
        <f t="shared" si="11"/>
        <v>252</v>
      </c>
      <c r="G21" s="2">
        <f t="shared" si="11"/>
        <v>259</v>
      </c>
      <c r="H21" s="8">
        <f t="shared" si="11"/>
        <v>268</v>
      </c>
      <c r="I21" s="1">
        <f t="shared" si="11"/>
        <v>279</v>
      </c>
      <c r="J21" s="3">
        <f t="shared" si="11"/>
        <v>292</v>
      </c>
      <c r="K21">
        <f t="shared" si="11"/>
        <v>307</v>
      </c>
      <c r="L21">
        <f t="shared" si="11"/>
        <v>324</v>
      </c>
      <c r="M21" s="2">
        <f t="shared" si="11"/>
        <v>343</v>
      </c>
      <c r="N21" s="1">
        <f t="shared" si="11"/>
        <v>364</v>
      </c>
      <c r="O21" s="1">
        <f t="shared" si="11"/>
        <v>387</v>
      </c>
      <c r="P21" s="3">
        <f t="shared" si="12"/>
        <v>412</v>
      </c>
      <c r="Q21">
        <f t="shared" si="12"/>
        <v>439</v>
      </c>
      <c r="R21">
        <f t="shared" si="12"/>
        <v>468</v>
      </c>
      <c r="S21" s="2">
        <f t="shared" si="12"/>
        <v>499</v>
      </c>
      <c r="T21" s="8">
        <f t="shared" si="13"/>
        <v>532</v>
      </c>
      <c r="U21" s="1">
        <f t="shared" si="13"/>
        <v>567</v>
      </c>
      <c r="V21" s="3">
        <f t="shared" si="13"/>
        <v>604</v>
      </c>
      <c r="W21" s="15">
        <f t="shared" si="13"/>
        <v>643</v>
      </c>
      <c r="X21" s="15">
        <f t="shared" si="13"/>
        <v>684</v>
      </c>
      <c r="Y21" s="2">
        <f t="shared" si="13"/>
        <v>727</v>
      </c>
      <c r="Z21" s="1">
        <f t="shared" si="13"/>
        <v>772</v>
      </c>
      <c r="AA21" s="15">
        <f t="shared" si="13"/>
        <v>819</v>
      </c>
      <c r="AB21" s="15">
        <f t="shared" si="13"/>
        <v>868</v>
      </c>
      <c r="AC21" s="15">
        <f t="shared" si="13"/>
        <v>919</v>
      </c>
      <c r="AD21" s="15">
        <f t="shared" si="13"/>
        <v>972</v>
      </c>
      <c r="AE21" s="15">
        <f t="shared" si="13"/>
        <v>1027</v>
      </c>
      <c r="AF21" s="15">
        <f t="shared" si="13"/>
        <v>1084</v>
      </c>
      <c r="AG21" s="15">
        <f t="shared" si="13"/>
        <v>1143</v>
      </c>
    </row>
    <row r="22" spans="1:33" ht="16.5" thickTop="1" thickBot="1" x14ac:dyDescent="0.3">
      <c r="A22">
        <f t="shared" si="9"/>
        <v>243</v>
      </c>
      <c r="B22" s="12">
        <f t="shared" si="10"/>
        <v>9</v>
      </c>
      <c r="C22" s="2">
        <f t="shared" si="11"/>
        <v>243</v>
      </c>
      <c r="D22" s="1">
        <f t="shared" si="11"/>
        <v>244</v>
      </c>
      <c r="E22">
        <f t="shared" si="11"/>
        <v>247</v>
      </c>
      <c r="F22">
        <f t="shared" si="11"/>
        <v>252</v>
      </c>
      <c r="G22">
        <f t="shared" si="11"/>
        <v>259</v>
      </c>
      <c r="H22" s="6">
        <f t="shared" si="11"/>
        <v>268</v>
      </c>
      <c r="I22" s="9">
        <f t="shared" si="11"/>
        <v>279</v>
      </c>
      <c r="J22" s="1">
        <f t="shared" si="11"/>
        <v>292</v>
      </c>
      <c r="K22">
        <f t="shared" si="11"/>
        <v>307</v>
      </c>
      <c r="L22">
        <f t="shared" si="11"/>
        <v>324</v>
      </c>
      <c r="M22">
        <f t="shared" si="11"/>
        <v>343</v>
      </c>
      <c r="N22" s="3">
        <f t="shared" si="11"/>
        <v>364</v>
      </c>
      <c r="O22" s="9">
        <f t="shared" si="11"/>
        <v>387</v>
      </c>
      <c r="P22" s="1">
        <f t="shared" si="12"/>
        <v>412</v>
      </c>
      <c r="Q22">
        <f t="shared" si="12"/>
        <v>439</v>
      </c>
      <c r="R22">
        <f t="shared" si="12"/>
        <v>468</v>
      </c>
      <c r="S22">
        <f t="shared" si="12"/>
        <v>499</v>
      </c>
      <c r="T22" s="6">
        <f t="shared" si="13"/>
        <v>532</v>
      </c>
      <c r="U22" s="9">
        <f t="shared" si="13"/>
        <v>567</v>
      </c>
      <c r="V22" s="1">
        <f t="shared" si="13"/>
        <v>604</v>
      </c>
      <c r="W22" s="15">
        <f t="shared" si="13"/>
        <v>643</v>
      </c>
      <c r="X22" s="15">
        <f t="shared" si="13"/>
        <v>684</v>
      </c>
      <c r="Y22" s="15">
        <f t="shared" si="13"/>
        <v>727</v>
      </c>
      <c r="Z22" s="3">
        <f t="shared" si="13"/>
        <v>772</v>
      </c>
      <c r="AA22" s="15">
        <f t="shared" si="13"/>
        <v>819</v>
      </c>
      <c r="AB22" s="15">
        <f t="shared" si="13"/>
        <v>868</v>
      </c>
      <c r="AC22" s="15">
        <f t="shared" si="13"/>
        <v>919</v>
      </c>
      <c r="AD22" s="15">
        <f t="shared" si="13"/>
        <v>972</v>
      </c>
      <c r="AE22" s="15">
        <f t="shared" si="13"/>
        <v>1027</v>
      </c>
      <c r="AF22" s="15">
        <f t="shared" si="13"/>
        <v>1084</v>
      </c>
      <c r="AG22" s="15">
        <f t="shared" si="13"/>
        <v>1143</v>
      </c>
    </row>
    <row r="23" spans="1:33" ht="15.75" thickTop="1" x14ac:dyDescent="0.25">
      <c r="A23">
        <f t="shared" si="9"/>
        <v>243</v>
      </c>
      <c r="B23" s="12">
        <f t="shared" si="10"/>
        <v>9</v>
      </c>
      <c r="C23">
        <f t="shared" si="11"/>
        <v>243</v>
      </c>
      <c r="D23" s="2">
        <f t="shared" si="11"/>
        <v>244</v>
      </c>
      <c r="E23">
        <f t="shared" si="11"/>
        <v>247</v>
      </c>
      <c r="F23">
        <f t="shared" si="11"/>
        <v>252</v>
      </c>
      <c r="G23" s="2">
        <f t="shared" si="11"/>
        <v>259</v>
      </c>
      <c r="H23">
        <f t="shared" si="11"/>
        <v>268</v>
      </c>
      <c r="I23">
        <f t="shared" si="11"/>
        <v>279</v>
      </c>
      <c r="J23" s="2">
        <f t="shared" si="11"/>
        <v>292</v>
      </c>
      <c r="K23">
        <f t="shared" si="11"/>
        <v>307</v>
      </c>
      <c r="L23">
        <f t="shared" si="11"/>
        <v>324</v>
      </c>
      <c r="M23" s="2">
        <f t="shared" si="11"/>
        <v>343</v>
      </c>
      <c r="N23">
        <f t="shared" si="11"/>
        <v>364</v>
      </c>
      <c r="O23">
        <f t="shared" si="11"/>
        <v>387</v>
      </c>
      <c r="P23" s="2">
        <f t="shared" si="12"/>
        <v>412</v>
      </c>
      <c r="Q23">
        <f t="shared" si="12"/>
        <v>439</v>
      </c>
      <c r="R23">
        <f t="shared" si="12"/>
        <v>468</v>
      </c>
      <c r="S23" s="2">
        <f t="shared" si="12"/>
        <v>499</v>
      </c>
      <c r="T23" s="15">
        <f t="shared" si="13"/>
        <v>532</v>
      </c>
      <c r="U23" s="15">
        <f t="shared" si="13"/>
        <v>567</v>
      </c>
      <c r="V23" s="2">
        <f t="shared" si="13"/>
        <v>604</v>
      </c>
      <c r="W23" s="15">
        <f t="shared" si="13"/>
        <v>643</v>
      </c>
      <c r="X23" s="15">
        <f t="shared" si="13"/>
        <v>684</v>
      </c>
      <c r="Y23" s="2">
        <f t="shared" si="13"/>
        <v>727</v>
      </c>
      <c r="Z23" s="15">
        <f t="shared" si="13"/>
        <v>772</v>
      </c>
      <c r="AA23" s="15">
        <f t="shared" si="13"/>
        <v>819</v>
      </c>
      <c r="AB23" s="15">
        <f t="shared" si="13"/>
        <v>868</v>
      </c>
      <c r="AC23" s="15">
        <f t="shared" si="13"/>
        <v>919</v>
      </c>
      <c r="AD23" s="15">
        <f t="shared" si="13"/>
        <v>972</v>
      </c>
      <c r="AE23" s="15">
        <f t="shared" si="13"/>
        <v>1027</v>
      </c>
      <c r="AF23" s="15">
        <f t="shared" si="13"/>
        <v>1084</v>
      </c>
      <c r="AG23" s="15">
        <f t="shared" si="13"/>
        <v>1143</v>
      </c>
    </row>
    <row r="24" spans="1:33" ht="15.75" thickBot="1" x14ac:dyDescent="0.3">
      <c r="A24">
        <f t="shared" si="9"/>
        <v>192</v>
      </c>
      <c r="B24" s="12">
        <f t="shared" si="10"/>
        <v>8</v>
      </c>
      <c r="C24">
        <f t="shared" si="11"/>
        <v>192</v>
      </c>
      <c r="D24" s="2">
        <f t="shared" si="11"/>
        <v>193</v>
      </c>
      <c r="E24" s="1">
        <f t="shared" si="11"/>
        <v>196</v>
      </c>
      <c r="F24" s="1">
        <f t="shared" si="11"/>
        <v>201</v>
      </c>
      <c r="G24" s="3">
        <f t="shared" si="11"/>
        <v>208</v>
      </c>
      <c r="H24">
        <f t="shared" si="11"/>
        <v>217</v>
      </c>
      <c r="I24">
        <f t="shared" si="11"/>
        <v>228</v>
      </c>
      <c r="J24" s="2">
        <f t="shared" si="11"/>
        <v>241</v>
      </c>
      <c r="K24" s="1">
        <f t="shared" si="11"/>
        <v>256</v>
      </c>
      <c r="L24" s="1">
        <f t="shared" si="11"/>
        <v>273</v>
      </c>
      <c r="M24" s="3">
        <f t="shared" si="11"/>
        <v>292</v>
      </c>
      <c r="N24">
        <f t="shared" si="11"/>
        <v>313</v>
      </c>
      <c r="O24">
        <f t="shared" si="11"/>
        <v>336</v>
      </c>
      <c r="P24" s="2">
        <f t="shared" si="12"/>
        <v>361</v>
      </c>
      <c r="Q24" s="1">
        <f t="shared" si="12"/>
        <v>388</v>
      </c>
      <c r="R24" s="1">
        <f t="shared" si="12"/>
        <v>417</v>
      </c>
      <c r="S24" s="3">
        <f t="shared" si="12"/>
        <v>448</v>
      </c>
      <c r="T24" s="15">
        <f t="shared" si="13"/>
        <v>481</v>
      </c>
      <c r="U24" s="15">
        <f t="shared" si="13"/>
        <v>516</v>
      </c>
      <c r="V24" s="2">
        <f t="shared" si="13"/>
        <v>553</v>
      </c>
      <c r="W24" s="1">
        <f t="shared" si="13"/>
        <v>592</v>
      </c>
      <c r="X24" s="1">
        <f t="shared" si="13"/>
        <v>633</v>
      </c>
      <c r="Y24" s="3">
        <f t="shared" si="13"/>
        <v>676</v>
      </c>
      <c r="Z24" s="15">
        <f t="shared" si="13"/>
        <v>721</v>
      </c>
      <c r="AA24" s="15">
        <f t="shared" si="13"/>
        <v>768</v>
      </c>
      <c r="AB24" s="15">
        <f t="shared" si="13"/>
        <v>817</v>
      </c>
      <c r="AC24" s="15">
        <f t="shared" si="13"/>
        <v>868</v>
      </c>
      <c r="AD24" s="15">
        <f t="shared" si="13"/>
        <v>921</v>
      </c>
      <c r="AE24" s="15">
        <f t="shared" si="13"/>
        <v>976</v>
      </c>
      <c r="AF24" s="15">
        <f t="shared" si="13"/>
        <v>1033</v>
      </c>
      <c r="AG24" s="15">
        <f t="shared" si="13"/>
        <v>1092</v>
      </c>
    </row>
    <row r="25" spans="1:33" ht="16.5" thickTop="1" thickBot="1" x14ac:dyDescent="0.3">
      <c r="A25">
        <f t="shared" si="9"/>
        <v>192</v>
      </c>
      <c r="B25" s="12">
        <f t="shared" si="10"/>
        <v>8</v>
      </c>
      <c r="C25">
        <f t="shared" si="11"/>
        <v>192</v>
      </c>
      <c r="D25">
        <f t="shared" si="11"/>
        <v>193</v>
      </c>
      <c r="E25" s="3">
        <f t="shared" si="11"/>
        <v>196</v>
      </c>
      <c r="F25" s="7">
        <f t="shared" si="11"/>
        <v>201</v>
      </c>
      <c r="G25" s="8">
        <f t="shared" si="11"/>
        <v>208</v>
      </c>
      <c r="H25">
        <f t="shared" si="11"/>
        <v>217</v>
      </c>
      <c r="I25">
        <f t="shared" si="11"/>
        <v>228</v>
      </c>
      <c r="J25">
        <f t="shared" si="11"/>
        <v>241</v>
      </c>
      <c r="K25" s="3">
        <f t="shared" si="11"/>
        <v>256</v>
      </c>
      <c r="L25" s="9">
        <f t="shared" si="11"/>
        <v>273</v>
      </c>
      <c r="M25" s="1">
        <f t="shared" si="11"/>
        <v>292</v>
      </c>
      <c r="N25">
        <f t="shared" si="11"/>
        <v>313</v>
      </c>
      <c r="O25">
        <f t="shared" si="11"/>
        <v>336</v>
      </c>
      <c r="P25">
        <f t="shared" si="12"/>
        <v>361</v>
      </c>
      <c r="Q25" s="3">
        <f t="shared" si="12"/>
        <v>388</v>
      </c>
      <c r="R25" s="9">
        <f t="shared" si="12"/>
        <v>417</v>
      </c>
      <c r="S25" s="4">
        <f t="shared" si="12"/>
        <v>448</v>
      </c>
      <c r="T25" s="15">
        <f t="shared" si="13"/>
        <v>481</v>
      </c>
      <c r="U25" s="15">
        <f t="shared" si="13"/>
        <v>516</v>
      </c>
      <c r="V25" s="15">
        <f t="shared" si="13"/>
        <v>553</v>
      </c>
      <c r="W25" s="3">
        <f t="shared" si="13"/>
        <v>592</v>
      </c>
      <c r="X25" s="9">
        <f t="shared" si="13"/>
        <v>633</v>
      </c>
      <c r="Y25" s="1">
        <f t="shared" si="13"/>
        <v>676</v>
      </c>
      <c r="Z25" s="15">
        <f t="shared" si="13"/>
        <v>721</v>
      </c>
      <c r="AA25" s="15">
        <f t="shared" si="13"/>
        <v>768</v>
      </c>
      <c r="AB25" s="15">
        <f t="shared" si="13"/>
        <v>817</v>
      </c>
      <c r="AC25" s="15">
        <f t="shared" si="13"/>
        <v>868</v>
      </c>
      <c r="AD25" s="15">
        <f t="shared" si="13"/>
        <v>921</v>
      </c>
      <c r="AE25" s="15">
        <f t="shared" si="13"/>
        <v>976</v>
      </c>
      <c r="AF25" s="15">
        <f t="shared" si="13"/>
        <v>1033</v>
      </c>
      <c r="AG25" s="15">
        <f t="shared" si="13"/>
        <v>1092</v>
      </c>
    </row>
    <row r="26" spans="1:33" ht="15.75" thickTop="1" x14ac:dyDescent="0.25">
      <c r="A26">
        <f t="shared" si="9"/>
        <v>192</v>
      </c>
      <c r="B26" s="12">
        <f t="shared" si="10"/>
        <v>8</v>
      </c>
      <c r="C26">
        <f t="shared" si="11"/>
        <v>192</v>
      </c>
      <c r="D26" s="2">
        <f t="shared" si="11"/>
        <v>193</v>
      </c>
      <c r="E26">
        <f t="shared" si="11"/>
        <v>196</v>
      </c>
      <c r="F26">
        <f t="shared" si="11"/>
        <v>201</v>
      </c>
      <c r="G26" s="5">
        <f t="shared" si="11"/>
        <v>208</v>
      </c>
      <c r="H26">
        <f t="shared" si="11"/>
        <v>217</v>
      </c>
      <c r="I26">
        <f t="shared" si="11"/>
        <v>228</v>
      </c>
      <c r="J26" s="2">
        <f t="shared" si="11"/>
        <v>241</v>
      </c>
      <c r="K26">
        <f t="shared" si="11"/>
        <v>256</v>
      </c>
      <c r="L26">
        <f t="shared" si="11"/>
        <v>273</v>
      </c>
      <c r="M26" s="2">
        <f t="shared" si="11"/>
        <v>292</v>
      </c>
      <c r="N26">
        <f t="shared" si="11"/>
        <v>313</v>
      </c>
      <c r="O26">
        <f t="shared" si="11"/>
        <v>336</v>
      </c>
      <c r="P26" s="2">
        <f t="shared" si="12"/>
        <v>361</v>
      </c>
      <c r="Q26">
        <f t="shared" si="12"/>
        <v>388</v>
      </c>
      <c r="R26">
        <f t="shared" si="12"/>
        <v>417</v>
      </c>
      <c r="S26" s="5">
        <f t="shared" si="12"/>
        <v>448</v>
      </c>
      <c r="T26" s="15">
        <f t="shared" si="13"/>
        <v>481</v>
      </c>
      <c r="U26" s="15">
        <f t="shared" si="13"/>
        <v>516</v>
      </c>
      <c r="V26" s="2">
        <f t="shared" si="13"/>
        <v>553</v>
      </c>
      <c r="W26" s="15">
        <f t="shared" si="13"/>
        <v>592</v>
      </c>
      <c r="X26" s="15">
        <f t="shared" si="13"/>
        <v>633</v>
      </c>
      <c r="Y26" s="2">
        <f t="shared" si="13"/>
        <v>676</v>
      </c>
      <c r="Z26" s="15">
        <f t="shared" si="13"/>
        <v>721</v>
      </c>
      <c r="AA26" s="15">
        <f t="shared" si="13"/>
        <v>768</v>
      </c>
      <c r="AB26" s="15">
        <f t="shared" si="13"/>
        <v>817</v>
      </c>
      <c r="AC26" s="15">
        <f t="shared" si="13"/>
        <v>868</v>
      </c>
      <c r="AD26" s="15">
        <f t="shared" si="13"/>
        <v>921</v>
      </c>
      <c r="AE26" s="15">
        <f t="shared" si="13"/>
        <v>976</v>
      </c>
      <c r="AF26" s="15">
        <f t="shared" si="13"/>
        <v>1033</v>
      </c>
      <c r="AG26" s="15">
        <f t="shared" si="13"/>
        <v>1092</v>
      </c>
    </row>
    <row r="27" spans="1:33" ht="15.75" thickBot="1" x14ac:dyDescent="0.3">
      <c r="A27">
        <f t="shared" si="9"/>
        <v>147</v>
      </c>
      <c r="B27" s="12">
        <f t="shared" si="10"/>
        <v>7</v>
      </c>
      <c r="C27" s="1">
        <f t="shared" si="11"/>
        <v>147</v>
      </c>
      <c r="D27" s="3">
        <f t="shared" si="11"/>
        <v>148</v>
      </c>
      <c r="E27">
        <f t="shared" si="11"/>
        <v>151</v>
      </c>
      <c r="F27">
        <f t="shared" si="11"/>
        <v>156</v>
      </c>
      <c r="G27" s="2">
        <f t="shared" si="11"/>
        <v>163</v>
      </c>
      <c r="H27" s="1">
        <f t="shared" si="11"/>
        <v>172</v>
      </c>
      <c r="I27" s="1">
        <f t="shared" si="11"/>
        <v>183</v>
      </c>
      <c r="J27" s="3">
        <f t="shared" si="11"/>
        <v>196</v>
      </c>
      <c r="K27">
        <f t="shared" si="11"/>
        <v>211</v>
      </c>
      <c r="L27">
        <f t="shared" si="11"/>
        <v>228</v>
      </c>
      <c r="M27" s="2">
        <f t="shared" si="11"/>
        <v>247</v>
      </c>
      <c r="N27" s="1">
        <f t="shared" si="11"/>
        <v>268</v>
      </c>
      <c r="O27" s="1">
        <f t="shared" si="11"/>
        <v>291</v>
      </c>
      <c r="P27" s="3">
        <f t="shared" si="12"/>
        <v>316</v>
      </c>
      <c r="Q27">
        <f t="shared" si="12"/>
        <v>343</v>
      </c>
      <c r="R27">
        <f t="shared" si="12"/>
        <v>372</v>
      </c>
      <c r="S27" s="2">
        <f t="shared" si="12"/>
        <v>403</v>
      </c>
      <c r="T27" s="8">
        <f t="shared" si="13"/>
        <v>436</v>
      </c>
      <c r="U27" s="1">
        <f t="shared" si="13"/>
        <v>471</v>
      </c>
      <c r="V27" s="3">
        <f t="shared" si="13"/>
        <v>508</v>
      </c>
      <c r="W27" s="15">
        <f t="shared" si="13"/>
        <v>547</v>
      </c>
      <c r="X27" s="15">
        <f t="shared" si="13"/>
        <v>588</v>
      </c>
      <c r="Y27" s="2">
        <f t="shared" si="13"/>
        <v>631</v>
      </c>
      <c r="Z27" s="1">
        <f t="shared" si="13"/>
        <v>676</v>
      </c>
      <c r="AA27" s="15">
        <f t="shared" si="13"/>
        <v>723</v>
      </c>
      <c r="AB27" s="15">
        <f t="shared" si="13"/>
        <v>772</v>
      </c>
      <c r="AC27" s="15">
        <f t="shared" si="13"/>
        <v>823</v>
      </c>
      <c r="AD27" s="15">
        <f t="shared" si="13"/>
        <v>876</v>
      </c>
      <c r="AE27" s="15">
        <f t="shared" si="13"/>
        <v>931</v>
      </c>
      <c r="AF27" s="15">
        <f t="shared" si="13"/>
        <v>988</v>
      </c>
      <c r="AG27" s="15">
        <f t="shared" si="13"/>
        <v>1047</v>
      </c>
    </row>
    <row r="28" spans="1:33" ht="16.5" thickTop="1" thickBot="1" x14ac:dyDescent="0.3">
      <c r="A28">
        <f t="shared" si="9"/>
        <v>147</v>
      </c>
      <c r="B28" s="12">
        <f t="shared" si="10"/>
        <v>7</v>
      </c>
      <c r="C28" s="2">
        <f t="shared" si="11"/>
        <v>147</v>
      </c>
      <c r="D28" s="1">
        <f t="shared" si="11"/>
        <v>148</v>
      </c>
      <c r="E28">
        <f t="shared" si="11"/>
        <v>151</v>
      </c>
      <c r="F28">
        <f t="shared" si="11"/>
        <v>156</v>
      </c>
      <c r="G28">
        <f t="shared" si="11"/>
        <v>163</v>
      </c>
      <c r="H28" s="3">
        <f t="shared" si="11"/>
        <v>172</v>
      </c>
      <c r="I28" s="9">
        <f t="shared" si="11"/>
        <v>183</v>
      </c>
      <c r="J28" s="1">
        <f t="shared" si="11"/>
        <v>196</v>
      </c>
      <c r="K28">
        <f t="shared" si="11"/>
        <v>211</v>
      </c>
      <c r="L28">
        <f t="shared" si="11"/>
        <v>228</v>
      </c>
      <c r="M28">
        <f t="shared" si="11"/>
        <v>247</v>
      </c>
      <c r="N28" s="3">
        <f t="shared" si="11"/>
        <v>268</v>
      </c>
      <c r="O28" s="9">
        <f t="shared" si="11"/>
        <v>291</v>
      </c>
      <c r="P28" s="1">
        <f t="shared" si="12"/>
        <v>316</v>
      </c>
      <c r="Q28">
        <f t="shared" si="12"/>
        <v>343</v>
      </c>
      <c r="R28">
        <f t="shared" si="12"/>
        <v>372</v>
      </c>
      <c r="S28">
        <f t="shared" si="12"/>
        <v>403</v>
      </c>
      <c r="T28" s="6">
        <f t="shared" si="13"/>
        <v>436</v>
      </c>
      <c r="U28" s="9">
        <f t="shared" si="13"/>
        <v>471</v>
      </c>
      <c r="V28" s="1">
        <f t="shared" si="13"/>
        <v>508</v>
      </c>
      <c r="W28" s="15">
        <f t="shared" si="13"/>
        <v>547</v>
      </c>
      <c r="X28" s="15">
        <f t="shared" si="13"/>
        <v>588</v>
      </c>
      <c r="Y28" s="15">
        <f t="shared" si="13"/>
        <v>631</v>
      </c>
      <c r="Z28" s="3">
        <f t="shared" si="13"/>
        <v>676</v>
      </c>
      <c r="AA28" s="15">
        <f t="shared" si="13"/>
        <v>723</v>
      </c>
      <c r="AB28" s="15">
        <f t="shared" si="13"/>
        <v>772</v>
      </c>
      <c r="AC28" s="15">
        <f t="shared" si="13"/>
        <v>823</v>
      </c>
      <c r="AD28" s="15">
        <f t="shared" si="13"/>
        <v>876</v>
      </c>
      <c r="AE28" s="15">
        <f t="shared" si="13"/>
        <v>931</v>
      </c>
      <c r="AF28" s="15">
        <f t="shared" si="13"/>
        <v>988</v>
      </c>
      <c r="AG28" s="15">
        <f t="shared" si="13"/>
        <v>1047</v>
      </c>
    </row>
    <row r="29" spans="1:33" ht="15.75" thickTop="1" x14ac:dyDescent="0.25">
      <c r="A29">
        <f t="shared" si="9"/>
        <v>147</v>
      </c>
      <c r="B29" s="12">
        <f t="shared" si="10"/>
        <v>7</v>
      </c>
      <c r="C29">
        <f t="shared" si="11"/>
        <v>147</v>
      </c>
      <c r="D29" s="2">
        <f t="shared" si="11"/>
        <v>148</v>
      </c>
      <c r="E29">
        <f t="shared" si="11"/>
        <v>151</v>
      </c>
      <c r="F29">
        <f t="shared" si="11"/>
        <v>156</v>
      </c>
      <c r="G29" s="2">
        <f t="shared" si="11"/>
        <v>163</v>
      </c>
      <c r="H29">
        <f t="shared" si="11"/>
        <v>172</v>
      </c>
      <c r="I29">
        <f t="shared" si="11"/>
        <v>183</v>
      </c>
      <c r="J29" s="2">
        <f t="shared" si="11"/>
        <v>196</v>
      </c>
      <c r="K29">
        <f t="shared" si="11"/>
        <v>211</v>
      </c>
      <c r="L29">
        <f t="shared" si="11"/>
        <v>228</v>
      </c>
      <c r="M29" s="2">
        <f t="shared" si="11"/>
        <v>247</v>
      </c>
      <c r="N29">
        <f t="shared" si="11"/>
        <v>268</v>
      </c>
      <c r="O29">
        <f t="shared" si="11"/>
        <v>291</v>
      </c>
      <c r="P29" s="2">
        <f t="shared" si="12"/>
        <v>316</v>
      </c>
      <c r="Q29">
        <f t="shared" si="12"/>
        <v>343</v>
      </c>
      <c r="R29">
        <f t="shared" si="12"/>
        <v>372</v>
      </c>
      <c r="S29" s="2">
        <f t="shared" si="12"/>
        <v>403</v>
      </c>
      <c r="T29" s="15">
        <f t="shared" si="13"/>
        <v>436</v>
      </c>
      <c r="U29" s="15">
        <f t="shared" si="13"/>
        <v>471</v>
      </c>
      <c r="V29" s="2">
        <f t="shared" si="13"/>
        <v>508</v>
      </c>
      <c r="W29" s="15">
        <f t="shared" si="13"/>
        <v>547</v>
      </c>
      <c r="X29" s="15">
        <f t="shared" si="13"/>
        <v>588</v>
      </c>
      <c r="Y29" s="2">
        <f t="shared" si="13"/>
        <v>631</v>
      </c>
      <c r="Z29" s="15">
        <f t="shared" si="13"/>
        <v>676</v>
      </c>
      <c r="AA29" s="15">
        <f t="shared" si="13"/>
        <v>723</v>
      </c>
      <c r="AB29" s="15">
        <f t="shared" si="13"/>
        <v>772</v>
      </c>
      <c r="AC29" s="15">
        <f t="shared" si="13"/>
        <v>823</v>
      </c>
      <c r="AD29" s="15">
        <f t="shared" si="13"/>
        <v>876</v>
      </c>
      <c r="AE29" s="15">
        <f t="shared" si="13"/>
        <v>931</v>
      </c>
      <c r="AF29" s="15">
        <f t="shared" si="13"/>
        <v>988</v>
      </c>
      <c r="AG29" s="15">
        <f t="shared" si="13"/>
        <v>1047</v>
      </c>
    </row>
    <row r="30" spans="1:33" ht="15.75" thickBot="1" x14ac:dyDescent="0.3">
      <c r="A30">
        <f t="shared" si="9"/>
        <v>108</v>
      </c>
      <c r="B30" s="12">
        <f t="shared" si="10"/>
        <v>6</v>
      </c>
      <c r="C30">
        <f t="shared" si="11"/>
        <v>108</v>
      </c>
      <c r="D30" s="2">
        <f t="shared" si="11"/>
        <v>109</v>
      </c>
      <c r="E30" s="1">
        <f t="shared" si="11"/>
        <v>112</v>
      </c>
      <c r="F30" s="1">
        <f t="shared" si="11"/>
        <v>117</v>
      </c>
      <c r="G30" s="3">
        <f t="shared" si="11"/>
        <v>124</v>
      </c>
      <c r="H30">
        <f t="shared" si="11"/>
        <v>133</v>
      </c>
      <c r="I30">
        <f t="shared" si="11"/>
        <v>144</v>
      </c>
      <c r="J30" s="2">
        <f t="shared" si="11"/>
        <v>157</v>
      </c>
      <c r="K30" s="1">
        <f t="shared" si="11"/>
        <v>172</v>
      </c>
      <c r="L30" s="1">
        <f t="shared" si="11"/>
        <v>189</v>
      </c>
      <c r="M30" s="3">
        <f t="shared" si="11"/>
        <v>208</v>
      </c>
      <c r="N30">
        <f t="shared" si="11"/>
        <v>229</v>
      </c>
      <c r="O30">
        <f t="shared" si="11"/>
        <v>252</v>
      </c>
      <c r="P30" s="2">
        <f t="shared" si="12"/>
        <v>277</v>
      </c>
      <c r="Q30" s="1">
        <f t="shared" si="12"/>
        <v>304</v>
      </c>
      <c r="R30" s="1">
        <f t="shared" si="12"/>
        <v>333</v>
      </c>
      <c r="S30" s="3">
        <f t="shared" si="12"/>
        <v>364</v>
      </c>
      <c r="T30" s="15">
        <f t="shared" si="13"/>
        <v>397</v>
      </c>
      <c r="U30" s="15">
        <f t="shared" si="13"/>
        <v>432</v>
      </c>
      <c r="V30" s="2">
        <f t="shared" si="13"/>
        <v>469</v>
      </c>
      <c r="W30" s="1">
        <f t="shared" si="13"/>
        <v>508</v>
      </c>
      <c r="X30" s="1">
        <f t="shared" si="13"/>
        <v>549</v>
      </c>
      <c r="Y30" s="3">
        <f t="shared" si="13"/>
        <v>592</v>
      </c>
      <c r="Z30" s="15">
        <f t="shared" si="13"/>
        <v>637</v>
      </c>
      <c r="AA30" s="15">
        <f t="shared" si="13"/>
        <v>684</v>
      </c>
      <c r="AB30" s="15">
        <f t="shared" si="13"/>
        <v>733</v>
      </c>
      <c r="AC30" s="15">
        <f t="shared" si="13"/>
        <v>784</v>
      </c>
      <c r="AD30" s="15">
        <f t="shared" si="13"/>
        <v>837</v>
      </c>
      <c r="AE30" s="15">
        <f t="shared" si="13"/>
        <v>892</v>
      </c>
      <c r="AF30" s="15">
        <f t="shared" si="13"/>
        <v>949</v>
      </c>
      <c r="AG30" s="15">
        <f t="shared" si="13"/>
        <v>1008</v>
      </c>
    </row>
    <row r="31" spans="1:33" ht="16.5" thickTop="1" thickBot="1" x14ac:dyDescent="0.3">
      <c r="A31">
        <f t="shared" si="9"/>
        <v>108</v>
      </c>
      <c r="B31" s="12">
        <f t="shared" si="10"/>
        <v>6</v>
      </c>
      <c r="C31">
        <f t="shared" si="11"/>
        <v>108</v>
      </c>
      <c r="D31">
        <f t="shared" si="11"/>
        <v>109</v>
      </c>
      <c r="E31" s="3">
        <f t="shared" si="11"/>
        <v>112</v>
      </c>
      <c r="F31" s="7">
        <f t="shared" si="11"/>
        <v>117</v>
      </c>
      <c r="G31" s="8">
        <f t="shared" si="11"/>
        <v>124</v>
      </c>
      <c r="H31">
        <f t="shared" si="11"/>
        <v>133</v>
      </c>
      <c r="I31">
        <f t="shared" si="11"/>
        <v>144</v>
      </c>
      <c r="J31">
        <f t="shared" si="11"/>
        <v>157</v>
      </c>
      <c r="K31" s="3">
        <f t="shared" si="11"/>
        <v>172</v>
      </c>
      <c r="L31" s="9">
        <f t="shared" si="11"/>
        <v>189</v>
      </c>
      <c r="M31" s="1">
        <f t="shared" si="11"/>
        <v>208</v>
      </c>
      <c r="N31">
        <f t="shared" si="11"/>
        <v>229</v>
      </c>
      <c r="O31">
        <f t="shared" si="11"/>
        <v>252</v>
      </c>
      <c r="P31">
        <f t="shared" si="12"/>
        <v>277</v>
      </c>
      <c r="Q31" s="3">
        <f t="shared" si="12"/>
        <v>304</v>
      </c>
      <c r="R31" s="9">
        <f t="shared" si="12"/>
        <v>333</v>
      </c>
      <c r="S31" s="4">
        <f t="shared" si="12"/>
        <v>364</v>
      </c>
      <c r="T31" s="15">
        <f t="shared" si="13"/>
        <v>397</v>
      </c>
      <c r="U31" s="15">
        <f t="shared" si="13"/>
        <v>432</v>
      </c>
      <c r="V31" s="15">
        <f t="shared" si="13"/>
        <v>469</v>
      </c>
      <c r="W31" s="3">
        <f t="shared" si="13"/>
        <v>508</v>
      </c>
      <c r="X31" s="9">
        <f t="shared" si="13"/>
        <v>549</v>
      </c>
      <c r="Y31" s="1">
        <f t="shared" si="13"/>
        <v>592</v>
      </c>
      <c r="Z31" s="15">
        <f t="shared" si="13"/>
        <v>637</v>
      </c>
      <c r="AA31" s="15">
        <f t="shared" si="13"/>
        <v>684</v>
      </c>
      <c r="AB31" s="15">
        <f t="shared" si="13"/>
        <v>733</v>
      </c>
      <c r="AC31" s="15">
        <f t="shared" si="13"/>
        <v>784</v>
      </c>
      <c r="AD31" s="15">
        <f t="shared" si="13"/>
        <v>837</v>
      </c>
      <c r="AE31" s="15">
        <f t="shared" si="13"/>
        <v>892</v>
      </c>
      <c r="AF31" s="15">
        <f t="shared" si="13"/>
        <v>949</v>
      </c>
      <c r="AG31" s="15">
        <f t="shared" si="13"/>
        <v>1008</v>
      </c>
    </row>
    <row r="32" spans="1:33" ht="15.75" thickTop="1" x14ac:dyDescent="0.25">
      <c r="A32">
        <f t="shared" si="9"/>
        <v>108</v>
      </c>
      <c r="B32" s="12">
        <f t="shared" si="10"/>
        <v>6</v>
      </c>
      <c r="C32">
        <f t="shared" ref="C32:T49" si="14">C$1+$A32</f>
        <v>108</v>
      </c>
      <c r="D32" s="2">
        <f t="shared" si="14"/>
        <v>109</v>
      </c>
      <c r="E32">
        <f t="shared" si="14"/>
        <v>112</v>
      </c>
      <c r="F32">
        <f t="shared" si="14"/>
        <v>117</v>
      </c>
      <c r="G32" s="2">
        <f t="shared" si="14"/>
        <v>124</v>
      </c>
      <c r="H32">
        <f t="shared" si="14"/>
        <v>133</v>
      </c>
      <c r="I32">
        <f t="shared" si="14"/>
        <v>144</v>
      </c>
      <c r="J32" s="2">
        <f t="shared" si="14"/>
        <v>157</v>
      </c>
      <c r="K32">
        <f t="shared" si="14"/>
        <v>172</v>
      </c>
      <c r="L32">
        <f t="shared" si="14"/>
        <v>189</v>
      </c>
      <c r="M32" s="2">
        <f t="shared" si="14"/>
        <v>208</v>
      </c>
      <c r="N32">
        <f t="shared" si="14"/>
        <v>229</v>
      </c>
      <c r="O32">
        <f t="shared" si="14"/>
        <v>252</v>
      </c>
      <c r="P32" s="2">
        <f t="shared" si="14"/>
        <v>277</v>
      </c>
      <c r="Q32">
        <f t="shared" si="14"/>
        <v>304</v>
      </c>
      <c r="R32">
        <f t="shared" si="14"/>
        <v>333</v>
      </c>
      <c r="S32" s="5">
        <f t="shared" ref="P32:AE47" si="15">S$1+$A32</f>
        <v>364</v>
      </c>
      <c r="T32" s="15">
        <f t="shared" si="14"/>
        <v>397</v>
      </c>
      <c r="U32" s="15">
        <f t="shared" si="15"/>
        <v>432</v>
      </c>
      <c r="V32" s="2">
        <f t="shared" si="13"/>
        <v>469</v>
      </c>
      <c r="W32" s="15">
        <f t="shared" si="15"/>
        <v>508</v>
      </c>
      <c r="X32" s="15">
        <f t="shared" si="13"/>
        <v>549</v>
      </c>
      <c r="Y32" s="2">
        <f t="shared" si="15"/>
        <v>592</v>
      </c>
      <c r="Z32" s="15">
        <f t="shared" si="13"/>
        <v>637</v>
      </c>
      <c r="AA32" s="15">
        <f t="shared" si="15"/>
        <v>684</v>
      </c>
      <c r="AB32" s="15">
        <f t="shared" si="13"/>
        <v>733</v>
      </c>
      <c r="AC32" s="15">
        <f t="shared" si="15"/>
        <v>784</v>
      </c>
      <c r="AD32" s="15">
        <f t="shared" si="13"/>
        <v>837</v>
      </c>
      <c r="AE32" s="15">
        <f t="shared" si="15"/>
        <v>892</v>
      </c>
      <c r="AF32" s="15">
        <f t="shared" si="13"/>
        <v>949</v>
      </c>
      <c r="AG32" s="15">
        <f t="shared" si="13"/>
        <v>1008</v>
      </c>
    </row>
    <row r="33" spans="1:33" ht="15.75" thickBot="1" x14ac:dyDescent="0.3">
      <c r="A33">
        <f t="shared" si="9"/>
        <v>75</v>
      </c>
      <c r="B33" s="12">
        <f t="shared" si="10"/>
        <v>5</v>
      </c>
      <c r="C33" s="1">
        <f t="shared" si="14"/>
        <v>75</v>
      </c>
      <c r="D33" s="3">
        <f t="shared" si="14"/>
        <v>76</v>
      </c>
      <c r="E33">
        <f t="shared" si="14"/>
        <v>79</v>
      </c>
      <c r="F33">
        <f t="shared" si="14"/>
        <v>84</v>
      </c>
      <c r="G33" s="2">
        <f t="shared" si="14"/>
        <v>91</v>
      </c>
      <c r="H33" s="1">
        <f t="shared" si="14"/>
        <v>100</v>
      </c>
      <c r="I33" s="1">
        <f t="shared" si="14"/>
        <v>111</v>
      </c>
      <c r="J33" s="3">
        <f t="shared" si="14"/>
        <v>124</v>
      </c>
      <c r="K33">
        <f t="shared" si="14"/>
        <v>139</v>
      </c>
      <c r="L33">
        <f t="shared" si="14"/>
        <v>156</v>
      </c>
      <c r="M33" s="2">
        <f t="shared" si="14"/>
        <v>175</v>
      </c>
      <c r="N33" s="1">
        <f t="shared" si="14"/>
        <v>196</v>
      </c>
      <c r="O33" s="1">
        <f t="shared" si="14"/>
        <v>219</v>
      </c>
      <c r="P33" s="3">
        <f t="shared" si="15"/>
        <v>244</v>
      </c>
      <c r="Q33">
        <f t="shared" si="15"/>
        <v>271</v>
      </c>
      <c r="R33">
        <f t="shared" si="15"/>
        <v>300</v>
      </c>
      <c r="S33" s="2">
        <f t="shared" si="15"/>
        <v>331</v>
      </c>
      <c r="T33" s="8">
        <f t="shared" si="13"/>
        <v>364</v>
      </c>
      <c r="U33" s="1">
        <f t="shared" si="13"/>
        <v>399</v>
      </c>
      <c r="V33" s="3">
        <f t="shared" si="13"/>
        <v>436</v>
      </c>
      <c r="W33" s="15">
        <f t="shared" si="13"/>
        <v>475</v>
      </c>
      <c r="X33" s="15">
        <f t="shared" si="13"/>
        <v>516</v>
      </c>
      <c r="Y33" s="2">
        <f t="shared" si="13"/>
        <v>559</v>
      </c>
      <c r="Z33" s="1">
        <f t="shared" si="13"/>
        <v>604</v>
      </c>
      <c r="AA33" s="15">
        <f t="shared" si="13"/>
        <v>651</v>
      </c>
      <c r="AB33" s="15">
        <f t="shared" si="13"/>
        <v>700</v>
      </c>
      <c r="AC33" s="15">
        <f t="shared" si="13"/>
        <v>751</v>
      </c>
      <c r="AD33" s="15">
        <f t="shared" si="13"/>
        <v>804</v>
      </c>
      <c r="AE33" s="15">
        <f t="shared" si="13"/>
        <v>859</v>
      </c>
      <c r="AF33" s="15">
        <f t="shared" si="13"/>
        <v>916</v>
      </c>
      <c r="AG33" s="15">
        <f t="shared" si="13"/>
        <v>975</v>
      </c>
    </row>
    <row r="34" spans="1:33" ht="16.5" thickTop="1" thickBot="1" x14ac:dyDescent="0.3">
      <c r="A34">
        <f t="shared" si="9"/>
        <v>75</v>
      </c>
      <c r="B34" s="12">
        <f t="shared" si="10"/>
        <v>5</v>
      </c>
      <c r="C34" s="2">
        <f t="shared" si="14"/>
        <v>75</v>
      </c>
      <c r="D34" s="1">
        <f t="shared" si="14"/>
        <v>76</v>
      </c>
      <c r="E34">
        <f t="shared" si="14"/>
        <v>79</v>
      </c>
      <c r="F34">
        <f t="shared" si="14"/>
        <v>84</v>
      </c>
      <c r="G34">
        <f t="shared" si="14"/>
        <v>91</v>
      </c>
      <c r="H34" s="3">
        <f t="shared" si="14"/>
        <v>100</v>
      </c>
      <c r="I34" s="9">
        <f t="shared" si="14"/>
        <v>111</v>
      </c>
      <c r="J34" s="1">
        <f t="shared" si="14"/>
        <v>124</v>
      </c>
      <c r="K34">
        <f t="shared" si="14"/>
        <v>139</v>
      </c>
      <c r="L34">
        <f t="shared" si="14"/>
        <v>156</v>
      </c>
      <c r="M34">
        <f t="shared" si="14"/>
        <v>175</v>
      </c>
      <c r="N34" s="3">
        <f t="shared" si="14"/>
        <v>196</v>
      </c>
      <c r="O34" s="9">
        <f t="shared" si="14"/>
        <v>219</v>
      </c>
      <c r="P34" s="1">
        <f t="shared" si="15"/>
        <v>244</v>
      </c>
      <c r="Q34">
        <f t="shared" si="15"/>
        <v>271</v>
      </c>
      <c r="R34">
        <f t="shared" si="15"/>
        <v>300</v>
      </c>
      <c r="S34">
        <f t="shared" si="15"/>
        <v>331</v>
      </c>
      <c r="T34" s="6">
        <f t="shared" ref="T34:AG49" si="16">T$1+$A34</f>
        <v>364</v>
      </c>
      <c r="U34" s="9">
        <f t="shared" si="16"/>
        <v>399</v>
      </c>
      <c r="V34" s="1">
        <f t="shared" si="16"/>
        <v>436</v>
      </c>
      <c r="W34" s="15">
        <f t="shared" si="16"/>
        <v>475</v>
      </c>
      <c r="X34" s="15">
        <f t="shared" si="16"/>
        <v>516</v>
      </c>
      <c r="Y34" s="15">
        <f t="shared" si="16"/>
        <v>559</v>
      </c>
      <c r="Z34" s="3">
        <f t="shared" si="16"/>
        <v>604</v>
      </c>
      <c r="AA34" s="15">
        <f t="shared" si="16"/>
        <v>651</v>
      </c>
      <c r="AB34" s="15">
        <f t="shared" si="16"/>
        <v>700</v>
      </c>
      <c r="AC34" s="15">
        <f t="shared" si="16"/>
        <v>751</v>
      </c>
      <c r="AD34" s="15">
        <f t="shared" si="16"/>
        <v>804</v>
      </c>
      <c r="AE34" s="15">
        <f t="shared" si="16"/>
        <v>859</v>
      </c>
      <c r="AF34" s="15">
        <f t="shared" si="16"/>
        <v>916</v>
      </c>
      <c r="AG34" s="15">
        <f t="shared" si="16"/>
        <v>975</v>
      </c>
    </row>
    <row r="35" spans="1:33" ht="15.75" thickTop="1" x14ac:dyDescent="0.25">
      <c r="A35">
        <f t="shared" si="9"/>
        <v>75</v>
      </c>
      <c r="B35" s="12">
        <f t="shared" si="10"/>
        <v>5</v>
      </c>
      <c r="C35">
        <f t="shared" si="14"/>
        <v>75</v>
      </c>
      <c r="D35" s="2">
        <f t="shared" si="14"/>
        <v>76</v>
      </c>
      <c r="E35">
        <f t="shared" si="14"/>
        <v>79</v>
      </c>
      <c r="F35">
        <f t="shared" si="14"/>
        <v>84</v>
      </c>
      <c r="G35" s="2">
        <f t="shared" si="14"/>
        <v>91</v>
      </c>
      <c r="H35">
        <f t="shared" si="14"/>
        <v>100</v>
      </c>
      <c r="I35">
        <f t="shared" si="14"/>
        <v>111</v>
      </c>
      <c r="J35" s="2">
        <f t="shared" si="14"/>
        <v>124</v>
      </c>
      <c r="K35">
        <f t="shared" si="14"/>
        <v>139</v>
      </c>
      <c r="L35">
        <f t="shared" si="14"/>
        <v>156</v>
      </c>
      <c r="M35" s="2">
        <f t="shared" si="14"/>
        <v>175</v>
      </c>
      <c r="N35">
        <f t="shared" si="14"/>
        <v>196</v>
      </c>
      <c r="O35">
        <f t="shared" si="14"/>
        <v>219</v>
      </c>
      <c r="P35" s="2">
        <f t="shared" si="15"/>
        <v>244</v>
      </c>
      <c r="Q35">
        <f t="shared" si="15"/>
        <v>271</v>
      </c>
      <c r="R35">
        <f t="shared" si="15"/>
        <v>300</v>
      </c>
      <c r="S35" s="2">
        <f t="shared" si="15"/>
        <v>331</v>
      </c>
      <c r="T35" s="15">
        <f t="shared" si="16"/>
        <v>364</v>
      </c>
      <c r="U35" s="15">
        <f t="shared" si="16"/>
        <v>399</v>
      </c>
      <c r="V35" s="2">
        <f t="shared" si="16"/>
        <v>436</v>
      </c>
      <c r="W35" s="15">
        <f t="shared" si="16"/>
        <v>475</v>
      </c>
      <c r="X35" s="15">
        <f t="shared" si="16"/>
        <v>516</v>
      </c>
      <c r="Y35" s="2">
        <f t="shared" si="16"/>
        <v>559</v>
      </c>
      <c r="Z35" s="15">
        <f t="shared" si="16"/>
        <v>604</v>
      </c>
      <c r="AA35" s="15">
        <f t="shared" si="16"/>
        <v>651</v>
      </c>
      <c r="AB35" s="15">
        <f t="shared" si="16"/>
        <v>700</v>
      </c>
      <c r="AC35" s="15">
        <f t="shared" si="16"/>
        <v>751</v>
      </c>
      <c r="AD35" s="15">
        <f t="shared" si="16"/>
        <v>804</v>
      </c>
      <c r="AE35" s="15">
        <f t="shared" si="16"/>
        <v>859</v>
      </c>
      <c r="AF35" s="15">
        <f t="shared" si="16"/>
        <v>916</v>
      </c>
      <c r="AG35" s="15">
        <f t="shared" si="16"/>
        <v>975</v>
      </c>
    </row>
    <row r="36" spans="1:33" ht="15.75" thickBot="1" x14ac:dyDescent="0.3">
      <c r="A36">
        <f t="shared" si="9"/>
        <v>48</v>
      </c>
      <c r="B36" s="12">
        <f t="shared" si="10"/>
        <v>4</v>
      </c>
      <c r="C36">
        <f t="shared" si="14"/>
        <v>48</v>
      </c>
      <c r="D36" s="2">
        <f t="shared" si="14"/>
        <v>49</v>
      </c>
      <c r="E36" s="1">
        <f t="shared" si="14"/>
        <v>52</v>
      </c>
      <c r="F36" s="1">
        <f t="shared" si="14"/>
        <v>57</v>
      </c>
      <c r="G36" s="3">
        <f t="shared" si="14"/>
        <v>64</v>
      </c>
      <c r="H36">
        <f t="shared" si="14"/>
        <v>73</v>
      </c>
      <c r="I36">
        <f t="shared" si="14"/>
        <v>84</v>
      </c>
      <c r="J36" s="2">
        <f t="shared" si="14"/>
        <v>97</v>
      </c>
      <c r="K36" s="1">
        <f t="shared" si="14"/>
        <v>112</v>
      </c>
      <c r="L36" s="1">
        <f t="shared" si="14"/>
        <v>129</v>
      </c>
      <c r="M36" s="3">
        <f t="shared" si="14"/>
        <v>148</v>
      </c>
      <c r="N36">
        <f t="shared" si="14"/>
        <v>169</v>
      </c>
      <c r="O36">
        <f t="shared" si="14"/>
        <v>192</v>
      </c>
      <c r="P36" s="2">
        <f t="shared" si="15"/>
        <v>217</v>
      </c>
      <c r="Q36" s="1">
        <f t="shared" si="15"/>
        <v>244</v>
      </c>
      <c r="R36" s="1">
        <f t="shared" si="15"/>
        <v>273</v>
      </c>
      <c r="S36" s="3">
        <f t="shared" si="15"/>
        <v>304</v>
      </c>
      <c r="T36" s="15">
        <f t="shared" si="16"/>
        <v>337</v>
      </c>
      <c r="U36" s="15">
        <f t="shared" si="16"/>
        <v>372</v>
      </c>
      <c r="V36" s="2">
        <f t="shared" si="16"/>
        <v>409</v>
      </c>
      <c r="W36" s="1">
        <f t="shared" si="16"/>
        <v>448</v>
      </c>
      <c r="X36" s="1">
        <f t="shared" si="16"/>
        <v>489</v>
      </c>
      <c r="Y36" s="3">
        <f t="shared" si="16"/>
        <v>532</v>
      </c>
      <c r="Z36" s="15">
        <f t="shared" si="16"/>
        <v>577</v>
      </c>
      <c r="AA36" s="15">
        <f t="shared" si="16"/>
        <v>624</v>
      </c>
      <c r="AB36" s="15">
        <f t="shared" si="16"/>
        <v>673</v>
      </c>
      <c r="AC36" s="15">
        <f t="shared" si="16"/>
        <v>724</v>
      </c>
      <c r="AD36" s="15">
        <f t="shared" si="16"/>
        <v>777</v>
      </c>
      <c r="AE36" s="15">
        <f t="shared" si="16"/>
        <v>832</v>
      </c>
      <c r="AF36" s="15">
        <f t="shared" si="16"/>
        <v>889</v>
      </c>
      <c r="AG36" s="15">
        <f t="shared" si="16"/>
        <v>948</v>
      </c>
    </row>
    <row r="37" spans="1:33" ht="16.5" thickTop="1" thickBot="1" x14ac:dyDescent="0.3">
      <c r="A37">
        <f t="shared" si="9"/>
        <v>48</v>
      </c>
      <c r="B37" s="12">
        <f t="shared" si="10"/>
        <v>4</v>
      </c>
      <c r="C37">
        <f t="shared" si="14"/>
        <v>48</v>
      </c>
      <c r="D37">
        <f t="shared" si="14"/>
        <v>49</v>
      </c>
      <c r="E37" s="6">
        <f t="shared" si="14"/>
        <v>52</v>
      </c>
      <c r="F37" s="7">
        <f t="shared" si="14"/>
        <v>57</v>
      </c>
      <c r="G37" s="4">
        <f t="shared" si="14"/>
        <v>64</v>
      </c>
      <c r="H37">
        <f t="shared" si="14"/>
        <v>73</v>
      </c>
      <c r="I37">
        <f t="shared" si="14"/>
        <v>84</v>
      </c>
      <c r="J37">
        <f t="shared" si="14"/>
        <v>97</v>
      </c>
      <c r="K37" s="3">
        <f t="shared" si="14"/>
        <v>112</v>
      </c>
      <c r="L37" s="9">
        <f t="shared" si="14"/>
        <v>129</v>
      </c>
      <c r="M37" s="1">
        <f t="shared" si="14"/>
        <v>148</v>
      </c>
      <c r="N37">
        <f t="shared" si="14"/>
        <v>169</v>
      </c>
      <c r="O37">
        <f t="shared" si="14"/>
        <v>192</v>
      </c>
      <c r="P37">
        <f t="shared" si="15"/>
        <v>217</v>
      </c>
      <c r="Q37" s="3">
        <f t="shared" si="15"/>
        <v>244</v>
      </c>
      <c r="R37" s="9">
        <f t="shared" si="15"/>
        <v>273</v>
      </c>
      <c r="S37" s="4">
        <f t="shared" si="15"/>
        <v>304</v>
      </c>
      <c r="T37" s="15">
        <f t="shared" si="16"/>
        <v>337</v>
      </c>
      <c r="U37" s="15">
        <f t="shared" si="16"/>
        <v>372</v>
      </c>
      <c r="V37" s="15">
        <f t="shared" si="16"/>
        <v>409</v>
      </c>
      <c r="W37" s="3">
        <f t="shared" si="16"/>
        <v>448</v>
      </c>
      <c r="X37" s="7">
        <f t="shared" si="16"/>
        <v>489</v>
      </c>
      <c r="Y37" s="8">
        <f t="shared" si="16"/>
        <v>532</v>
      </c>
      <c r="Z37" s="15">
        <f t="shared" si="16"/>
        <v>577</v>
      </c>
      <c r="AA37" s="15">
        <f t="shared" si="16"/>
        <v>624</v>
      </c>
      <c r="AB37" s="15">
        <f t="shared" si="16"/>
        <v>673</v>
      </c>
      <c r="AC37" s="15">
        <f t="shared" si="16"/>
        <v>724</v>
      </c>
      <c r="AD37" s="15">
        <f t="shared" si="16"/>
        <v>777</v>
      </c>
      <c r="AE37" s="15">
        <f t="shared" si="16"/>
        <v>832</v>
      </c>
      <c r="AF37" s="15">
        <f t="shared" si="16"/>
        <v>889</v>
      </c>
      <c r="AG37" s="15">
        <f t="shared" si="16"/>
        <v>948</v>
      </c>
    </row>
    <row r="38" spans="1:33" ht="15.75" thickTop="1" x14ac:dyDescent="0.25">
      <c r="A38">
        <f t="shared" si="9"/>
        <v>48</v>
      </c>
      <c r="B38" s="12">
        <f t="shared" si="10"/>
        <v>4</v>
      </c>
      <c r="C38">
        <f t="shared" si="14"/>
        <v>48</v>
      </c>
      <c r="D38" s="2">
        <f t="shared" si="14"/>
        <v>49</v>
      </c>
      <c r="E38">
        <f t="shared" si="14"/>
        <v>52</v>
      </c>
      <c r="F38">
        <f t="shared" si="14"/>
        <v>57</v>
      </c>
      <c r="G38" s="5">
        <f t="shared" si="14"/>
        <v>64</v>
      </c>
      <c r="H38">
        <f t="shared" si="14"/>
        <v>73</v>
      </c>
      <c r="I38">
        <f t="shared" si="14"/>
        <v>84</v>
      </c>
      <c r="J38" s="2">
        <f t="shared" si="14"/>
        <v>97</v>
      </c>
      <c r="K38">
        <f t="shared" si="14"/>
        <v>112</v>
      </c>
      <c r="L38">
        <f t="shared" si="14"/>
        <v>129</v>
      </c>
      <c r="M38" s="2">
        <f t="shared" si="14"/>
        <v>148</v>
      </c>
      <c r="N38">
        <f t="shared" si="14"/>
        <v>169</v>
      </c>
      <c r="O38">
        <f t="shared" si="14"/>
        <v>192</v>
      </c>
      <c r="P38" s="2">
        <f t="shared" si="15"/>
        <v>217</v>
      </c>
      <c r="Q38">
        <f t="shared" si="15"/>
        <v>244</v>
      </c>
      <c r="R38">
        <f t="shared" si="15"/>
        <v>273</v>
      </c>
      <c r="S38" s="5">
        <f t="shared" si="15"/>
        <v>304</v>
      </c>
      <c r="T38" s="15">
        <f t="shared" si="16"/>
        <v>337</v>
      </c>
      <c r="U38" s="15">
        <f t="shared" si="16"/>
        <v>372</v>
      </c>
      <c r="V38" s="2">
        <f t="shared" si="16"/>
        <v>409</v>
      </c>
      <c r="W38" s="15">
        <f t="shared" si="16"/>
        <v>448</v>
      </c>
      <c r="X38" s="15">
        <f t="shared" si="16"/>
        <v>489</v>
      </c>
      <c r="Y38" s="5">
        <f t="shared" si="16"/>
        <v>532</v>
      </c>
      <c r="Z38" s="15">
        <f t="shared" si="16"/>
        <v>577</v>
      </c>
      <c r="AA38" s="15">
        <f t="shared" si="16"/>
        <v>624</v>
      </c>
      <c r="AB38" s="15">
        <f t="shared" si="16"/>
        <v>673</v>
      </c>
      <c r="AC38" s="15">
        <f t="shared" si="16"/>
        <v>724</v>
      </c>
      <c r="AD38" s="15">
        <f t="shared" si="16"/>
        <v>777</v>
      </c>
      <c r="AE38" s="15">
        <f t="shared" si="16"/>
        <v>832</v>
      </c>
      <c r="AF38" s="15">
        <f t="shared" si="16"/>
        <v>889</v>
      </c>
      <c r="AG38" s="15">
        <f t="shared" si="16"/>
        <v>948</v>
      </c>
    </row>
    <row r="39" spans="1:33" ht="15.75" thickBot="1" x14ac:dyDescent="0.3">
      <c r="A39">
        <f t="shared" si="9"/>
        <v>27</v>
      </c>
      <c r="B39" s="12">
        <f t="shared" si="10"/>
        <v>3</v>
      </c>
      <c r="C39" s="1">
        <f t="shared" si="14"/>
        <v>27</v>
      </c>
      <c r="D39" s="3">
        <f t="shared" si="14"/>
        <v>28</v>
      </c>
      <c r="E39">
        <f t="shared" si="14"/>
        <v>31</v>
      </c>
      <c r="F39">
        <f t="shared" si="14"/>
        <v>36</v>
      </c>
      <c r="G39" s="2">
        <f t="shared" si="14"/>
        <v>43</v>
      </c>
      <c r="H39" s="1">
        <f t="shared" si="14"/>
        <v>52</v>
      </c>
      <c r="I39" s="1">
        <f t="shared" si="14"/>
        <v>63</v>
      </c>
      <c r="J39" s="3">
        <f t="shared" si="14"/>
        <v>76</v>
      </c>
      <c r="K39">
        <f t="shared" si="14"/>
        <v>91</v>
      </c>
      <c r="L39">
        <f t="shared" si="14"/>
        <v>108</v>
      </c>
      <c r="M39" s="2">
        <f t="shared" si="14"/>
        <v>127</v>
      </c>
      <c r="N39" s="1">
        <f t="shared" si="14"/>
        <v>148</v>
      </c>
      <c r="O39" s="1">
        <f t="shared" si="14"/>
        <v>171</v>
      </c>
      <c r="P39" s="3">
        <f t="shared" si="15"/>
        <v>196</v>
      </c>
      <c r="Q39">
        <f t="shared" si="15"/>
        <v>223</v>
      </c>
      <c r="R39">
        <f t="shared" si="15"/>
        <v>252</v>
      </c>
      <c r="S39" s="2">
        <f t="shared" si="15"/>
        <v>283</v>
      </c>
      <c r="T39" s="8">
        <f t="shared" si="16"/>
        <v>316</v>
      </c>
      <c r="U39" s="1">
        <f t="shared" si="16"/>
        <v>351</v>
      </c>
      <c r="V39" s="3">
        <f t="shared" si="16"/>
        <v>388</v>
      </c>
      <c r="W39" s="15">
        <f t="shared" si="16"/>
        <v>427</v>
      </c>
      <c r="X39" s="15">
        <f t="shared" si="16"/>
        <v>468</v>
      </c>
      <c r="Y39" s="2">
        <f t="shared" si="16"/>
        <v>511</v>
      </c>
      <c r="Z39" s="8">
        <f t="shared" si="16"/>
        <v>556</v>
      </c>
      <c r="AA39" s="1">
        <f t="shared" si="16"/>
        <v>603</v>
      </c>
      <c r="AB39" s="15">
        <f t="shared" si="16"/>
        <v>652</v>
      </c>
      <c r="AC39" s="15">
        <f t="shared" si="16"/>
        <v>703</v>
      </c>
      <c r="AD39" s="15">
        <f t="shared" si="16"/>
        <v>756</v>
      </c>
      <c r="AE39" s="15">
        <f t="shared" si="16"/>
        <v>811</v>
      </c>
      <c r="AF39" s="15">
        <f t="shared" si="16"/>
        <v>868</v>
      </c>
      <c r="AG39" s="15">
        <f t="shared" si="16"/>
        <v>927</v>
      </c>
    </row>
    <row r="40" spans="1:33" ht="16.5" thickTop="1" thickBot="1" x14ac:dyDescent="0.3">
      <c r="A40">
        <f t="shared" si="9"/>
        <v>27</v>
      </c>
      <c r="B40" s="12">
        <f t="shared" si="10"/>
        <v>3</v>
      </c>
      <c r="C40" s="2">
        <f t="shared" si="14"/>
        <v>27</v>
      </c>
      <c r="D40" s="1">
        <f t="shared" si="14"/>
        <v>28</v>
      </c>
      <c r="E40">
        <f t="shared" si="14"/>
        <v>31</v>
      </c>
      <c r="F40">
        <f t="shared" si="14"/>
        <v>36</v>
      </c>
      <c r="G40">
        <f t="shared" si="14"/>
        <v>43</v>
      </c>
      <c r="H40" s="6">
        <f t="shared" si="14"/>
        <v>52</v>
      </c>
      <c r="I40" s="9">
        <f t="shared" si="14"/>
        <v>63</v>
      </c>
      <c r="J40" s="1">
        <f t="shared" si="14"/>
        <v>76</v>
      </c>
      <c r="K40">
        <f t="shared" si="14"/>
        <v>91</v>
      </c>
      <c r="L40">
        <f t="shared" si="14"/>
        <v>108</v>
      </c>
      <c r="M40">
        <f t="shared" si="14"/>
        <v>127</v>
      </c>
      <c r="N40" s="3">
        <f t="shared" si="14"/>
        <v>148</v>
      </c>
      <c r="O40" s="9">
        <f t="shared" si="14"/>
        <v>171</v>
      </c>
      <c r="P40" s="1">
        <f t="shared" si="15"/>
        <v>196</v>
      </c>
      <c r="Q40">
        <f t="shared" si="15"/>
        <v>223</v>
      </c>
      <c r="R40">
        <f t="shared" si="15"/>
        <v>252</v>
      </c>
      <c r="S40">
        <f t="shared" si="15"/>
        <v>283</v>
      </c>
      <c r="T40" s="6">
        <f t="shared" si="16"/>
        <v>316</v>
      </c>
      <c r="U40" s="9">
        <f t="shared" si="16"/>
        <v>351</v>
      </c>
      <c r="V40" s="1">
        <f t="shared" si="16"/>
        <v>388</v>
      </c>
      <c r="W40" s="15">
        <f t="shared" si="16"/>
        <v>427</v>
      </c>
      <c r="X40" s="15">
        <f t="shared" si="16"/>
        <v>468</v>
      </c>
      <c r="Y40" s="15">
        <f t="shared" si="16"/>
        <v>511</v>
      </c>
      <c r="Z40" s="6">
        <f t="shared" si="16"/>
        <v>556</v>
      </c>
      <c r="AA40" s="9">
        <f t="shared" si="16"/>
        <v>603</v>
      </c>
      <c r="AB40" s="1">
        <f t="shared" si="16"/>
        <v>652</v>
      </c>
      <c r="AC40" s="15">
        <f t="shared" si="16"/>
        <v>703</v>
      </c>
      <c r="AD40" s="15">
        <f t="shared" si="16"/>
        <v>756</v>
      </c>
      <c r="AE40" s="15">
        <f t="shared" si="16"/>
        <v>811</v>
      </c>
      <c r="AF40" s="15">
        <f t="shared" si="16"/>
        <v>868</v>
      </c>
      <c r="AG40" s="15">
        <f t="shared" si="16"/>
        <v>927</v>
      </c>
    </row>
    <row r="41" spans="1:33" ht="15.75" thickTop="1" x14ac:dyDescent="0.25">
      <c r="A41">
        <f t="shared" si="9"/>
        <v>27</v>
      </c>
      <c r="B41" s="12">
        <f t="shared" si="10"/>
        <v>3</v>
      </c>
      <c r="C41">
        <f t="shared" si="14"/>
        <v>27</v>
      </c>
      <c r="D41" s="2">
        <f t="shared" si="14"/>
        <v>28</v>
      </c>
      <c r="E41">
        <f t="shared" si="14"/>
        <v>31</v>
      </c>
      <c r="F41">
        <f t="shared" si="14"/>
        <v>36</v>
      </c>
      <c r="G41" s="2">
        <f t="shared" si="14"/>
        <v>43</v>
      </c>
      <c r="H41">
        <f t="shared" si="14"/>
        <v>52</v>
      </c>
      <c r="I41">
        <f t="shared" si="14"/>
        <v>63</v>
      </c>
      <c r="J41" s="2">
        <f t="shared" si="14"/>
        <v>76</v>
      </c>
      <c r="K41">
        <f t="shared" si="14"/>
        <v>91</v>
      </c>
      <c r="L41">
        <f t="shared" si="14"/>
        <v>108</v>
      </c>
      <c r="M41" s="2">
        <f t="shared" si="14"/>
        <v>127</v>
      </c>
      <c r="N41">
        <f t="shared" si="14"/>
        <v>148</v>
      </c>
      <c r="O41">
        <f t="shared" si="14"/>
        <v>171</v>
      </c>
      <c r="P41" s="2">
        <f t="shared" si="15"/>
        <v>196</v>
      </c>
      <c r="Q41">
        <f t="shared" si="15"/>
        <v>223</v>
      </c>
      <c r="R41">
        <f t="shared" si="15"/>
        <v>252</v>
      </c>
      <c r="S41" s="2">
        <f t="shared" si="15"/>
        <v>283</v>
      </c>
      <c r="T41" s="15">
        <f t="shared" si="16"/>
        <v>316</v>
      </c>
      <c r="U41" s="15">
        <f t="shared" si="16"/>
        <v>351</v>
      </c>
      <c r="V41" s="2">
        <f t="shared" si="16"/>
        <v>388</v>
      </c>
      <c r="W41" s="15">
        <f t="shared" si="16"/>
        <v>427</v>
      </c>
      <c r="X41" s="15">
        <f t="shared" si="16"/>
        <v>468</v>
      </c>
      <c r="Y41" s="2">
        <f t="shared" si="16"/>
        <v>511</v>
      </c>
      <c r="Z41" s="15">
        <f t="shared" si="16"/>
        <v>556</v>
      </c>
      <c r="AA41" s="15">
        <f t="shared" si="16"/>
        <v>603</v>
      </c>
      <c r="AB41" s="2">
        <f t="shared" si="16"/>
        <v>652</v>
      </c>
      <c r="AC41" s="15">
        <f t="shared" si="16"/>
        <v>703</v>
      </c>
      <c r="AD41" s="15">
        <f t="shared" si="16"/>
        <v>756</v>
      </c>
      <c r="AE41" s="15">
        <f t="shared" si="16"/>
        <v>811</v>
      </c>
      <c r="AF41" s="15">
        <f t="shared" si="16"/>
        <v>868</v>
      </c>
      <c r="AG41" s="15">
        <f t="shared" si="16"/>
        <v>927</v>
      </c>
    </row>
    <row r="42" spans="1:33" ht="15.75" thickBot="1" x14ac:dyDescent="0.3">
      <c r="A42">
        <f t="shared" si="9"/>
        <v>12</v>
      </c>
      <c r="B42" s="12">
        <f t="shared" si="10"/>
        <v>2</v>
      </c>
      <c r="C42">
        <f t="shared" si="14"/>
        <v>12</v>
      </c>
      <c r="D42" s="2">
        <f t="shared" si="14"/>
        <v>13</v>
      </c>
      <c r="E42" s="1">
        <f t="shared" si="14"/>
        <v>16</v>
      </c>
      <c r="F42" s="1">
        <f t="shared" si="14"/>
        <v>21</v>
      </c>
      <c r="G42" s="3">
        <f t="shared" si="14"/>
        <v>28</v>
      </c>
      <c r="H42">
        <f t="shared" si="14"/>
        <v>37</v>
      </c>
      <c r="I42">
        <f t="shared" si="14"/>
        <v>48</v>
      </c>
      <c r="J42" s="2">
        <f t="shared" si="14"/>
        <v>61</v>
      </c>
      <c r="K42" s="1">
        <f t="shared" si="14"/>
        <v>76</v>
      </c>
      <c r="L42" s="1">
        <f t="shared" si="14"/>
        <v>93</v>
      </c>
      <c r="M42" s="3">
        <f t="shared" si="14"/>
        <v>112</v>
      </c>
      <c r="N42">
        <f t="shared" si="14"/>
        <v>133</v>
      </c>
      <c r="O42">
        <f t="shared" si="14"/>
        <v>156</v>
      </c>
      <c r="P42" s="2">
        <f t="shared" si="15"/>
        <v>181</v>
      </c>
      <c r="Q42" s="1">
        <f t="shared" si="15"/>
        <v>208</v>
      </c>
      <c r="R42" s="1">
        <f t="shared" si="15"/>
        <v>237</v>
      </c>
      <c r="S42" s="3">
        <f t="shared" si="15"/>
        <v>268</v>
      </c>
      <c r="T42" s="15">
        <f t="shared" si="16"/>
        <v>301</v>
      </c>
      <c r="U42" s="15">
        <f t="shared" si="16"/>
        <v>336</v>
      </c>
      <c r="V42" s="2">
        <f t="shared" si="16"/>
        <v>373</v>
      </c>
      <c r="W42" s="1">
        <f t="shared" si="16"/>
        <v>412</v>
      </c>
      <c r="X42" s="1">
        <f t="shared" si="16"/>
        <v>453</v>
      </c>
      <c r="Y42" s="3">
        <f t="shared" si="16"/>
        <v>496</v>
      </c>
      <c r="Z42" s="15">
        <f t="shared" si="16"/>
        <v>541</v>
      </c>
      <c r="AA42" s="15">
        <f t="shared" si="16"/>
        <v>588</v>
      </c>
      <c r="AB42" s="2">
        <f t="shared" si="16"/>
        <v>637</v>
      </c>
      <c r="AC42" s="1">
        <f t="shared" si="16"/>
        <v>688</v>
      </c>
      <c r="AD42" s="1">
        <f t="shared" si="16"/>
        <v>741</v>
      </c>
      <c r="AE42" s="15">
        <f t="shared" si="16"/>
        <v>796</v>
      </c>
      <c r="AF42" s="15">
        <f t="shared" si="16"/>
        <v>853</v>
      </c>
      <c r="AG42" s="15">
        <f t="shared" si="16"/>
        <v>912</v>
      </c>
    </row>
    <row r="43" spans="1:33" ht="16.5" thickTop="1" thickBot="1" x14ac:dyDescent="0.3">
      <c r="A43">
        <f t="shared" si="9"/>
        <v>12</v>
      </c>
      <c r="B43" s="12">
        <f t="shared" si="10"/>
        <v>2</v>
      </c>
      <c r="C43">
        <f t="shared" si="14"/>
        <v>12</v>
      </c>
      <c r="D43">
        <f t="shared" si="14"/>
        <v>13</v>
      </c>
      <c r="E43" s="3">
        <f t="shared" si="14"/>
        <v>16</v>
      </c>
      <c r="F43" s="2">
        <f t="shared" si="14"/>
        <v>21</v>
      </c>
      <c r="G43" s="1">
        <f t="shared" si="14"/>
        <v>28</v>
      </c>
      <c r="H43">
        <f t="shared" si="14"/>
        <v>37</v>
      </c>
      <c r="I43">
        <f t="shared" si="14"/>
        <v>48</v>
      </c>
      <c r="J43">
        <f t="shared" si="14"/>
        <v>61</v>
      </c>
      <c r="K43" s="3">
        <f t="shared" si="14"/>
        <v>76</v>
      </c>
      <c r="L43" s="9">
        <f t="shared" si="14"/>
        <v>93</v>
      </c>
      <c r="M43" s="1">
        <f t="shared" si="14"/>
        <v>112</v>
      </c>
      <c r="N43">
        <f t="shared" si="14"/>
        <v>133</v>
      </c>
      <c r="O43">
        <f t="shared" si="14"/>
        <v>156</v>
      </c>
      <c r="P43">
        <f t="shared" si="15"/>
        <v>181</v>
      </c>
      <c r="Q43" s="6">
        <f t="shared" si="15"/>
        <v>208</v>
      </c>
      <c r="R43" s="9">
        <f t="shared" si="15"/>
        <v>237</v>
      </c>
      <c r="S43" s="1">
        <f t="shared" si="15"/>
        <v>268</v>
      </c>
      <c r="T43" s="15">
        <f t="shared" si="16"/>
        <v>301</v>
      </c>
      <c r="U43" s="15">
        <f t="shared" si="16"/>
        <v>336</v>
      </c>
      <c r="V43" s="15">
        <f t="shared" si="16"/>
        <v>373</v>
      </c>
      <c r="W43" s="3">
        <f t="shared" si="16"/>
        <v>412</v>
      </c>
      <c r="X43" s="7">
        <f t="shared" si="16"/>
        <v>453</v>
      </c>
      <c r="Y43" s="4">
        <f t="shared" si="16"/>
        <v>496</v>
      </c>
      <c r="Z43" s="15">
        <f t="shared" si="16"/>
        <v>541</v>
      </c>
      <c r="AA43" s="15">
        <f t="shared" si="16"/>
        <v>588</v>
      </c>
      <c r="AB43" s="15">
        <f t="shared" si="16"/>
        <v>637</v>
      </c>
      <c r="AC43" s="3">
        <f t="shared" si="16"/>
        <v>688</v>
      </c>
      <c r="AD43" s="9">
        <f t="shared" si="16"/>
        <v>741</v>
      </c>
      <c r="AE43" s="1">
        <f t="shared" si="16"/>
        <v>796</v>
      </c>
      <c r="AF43" s="15">
        <f t="shared" si="16"/>
        <v>853</v>
      </c>
      <c r="AG43" s="15">
        <f t="shared" si="16"/>
        <v>912</v>
      </c>
    </row>
    <row r="44" spans="1:33" ht="15.75" thickTop="1" x14ac:dyDescent="0.25">
      <c r="A44">
        <f t="shared" si="9"/>
        <v>12</v>
      </c>
      <c r="B44" s="12">
        <f>B47+1</f>
        <v>2</v>
      </c>
      <c r="C44">
        <f t="shared" si="14"/>
        <v>12</v>
      </c>
      <c r="D44" s="2">
        <f t="shared" si="14"/>
        <v>13</v>
      </c>
      <c r="E44">
        <f t="shared" si="14"/>
        <v>16</v>
      </c>
      <c r="F44">
        <f t="shared" si="14"/>
        <v>21</v>
      </c>
      <c r="G44" s="2">
        <f t="shared" si="14"/>
        <v>28</v>
      </c>
      <c r="H44">
        <f t="shared" si="14"/>
        <v>37</v>
      </c>
      <c r="I44">
        <f t="shared" si="14"/>
        <v>48</v>
      </c>
      <c r="J44" s="2">
        <f t="shared" si="14"/>
        <v>61</v>
      </c>
      <c r="K44">
        <f t="shared" si="14"/>
        <v>76</v>
      </c>
      <c r="L44">
        <f t="shared" si="14"/>
        <v>93</v>
      </c>
      <c r="M44" s="2">
        <f t="shared" si="14"/>
        <v>112</v>
      </c>
      <c r="N44">
        <f t="shared" si="14"/>
        <v>133</v>
      </c>
      <c r="O44">
        <f t="shared" si="14"/>
        <v>156</v>
      </c>
      <c r="P44" s="2">
        <f t="shared" si="15"/>
        <v>181</v>
      </c>
      <c r="Q44">
        <f t="shared" si="15"/>
        <v>208</v>
      </c>
      <c r="R44">
        <f t="shared" si="15"/>
        <v>237</v>
      </c>
      <c r="S44" s="5">
        <f t="shared" si="15"/>
        <v>268</v>
      </c>
      <c r="T44" s="15">
        <f t="shared" si="16"/>
        <v>301</v>
      </c>
      <c r="U44" s="15">
        <f t="shared" si="16"/>
        <v>336</v>
      </c>
      <c r="V44" s="2">
        <f t="shared" si="16"/>
        <v>373</v>
      </c>
      <c r="W44" s="15">
        <f t="shared" si="16"/>
        <v>412</v>
      </c>
      <c r="X44" s="15">
        <f t="shared" si="16"/>
        <v>453</v>
      </c>
      <c r="Y44" s="5">
        <f t="shared" si="16"/>
        <v>496</v>
      </c>
      <c r="Z44" s="15">
        <f t="shared" si="16"/>
        <v>541</v>
      </c>
      <c r="AA44" s="15">
        <f t="shared" si="16"/>
        <v>588</v>
      </c>
      <c r="AB44" s="2">
        <f t="shared" si="16"/>
        <v>637</v>
      </c>
      <c r="AC44" s="15">
        <f t="shared" si="16"/>
        <v>688</v>
      </c>
      <c r="AD44" s="15">
        <f t="shared" si="16"/>
        <v>741</v>
      </c>
      <c r="AE44" s="2">
        <f t="shared" si="16"/>
        <v>796</v>
      </c>
      <c r="AF44" s="15">
        <f t="shared" si="16"/>
        <v>853</v>
      </c>
      <c r="AG44" s="15">
        <f t="shared" si="16"/>
        <v>912</v>
      </c>
    </row>
    <row r="45" spans="1:33" ht="15.75" thickBot="1" x14ac:dyDescent="0.3">
      <c r="A45">
        <f t="shared" si="9"/>
        <v>3</v>
      </c>
      <c r="B45" s="12">
        <v>1</v>
      </c>
      <c r="C45" s="1">
        <f t="shared" si="14"/>
        <v>3</v>
      </c>
      <c r="D45" s="3">
        <f t="shared" si="14"/>
        <v>4</v>
      </c>
      <c r="E45">
        <f t="shared" si="14"/>
        <v>7</v>
      </c>
      <c r="F45">
        <f t="shared" si="14"/>
        <v>12</v>
      </c>
      <c r="G45" s="2">
        <f t="shared" si="14"/>
        <v>19</v>
      </c>
      <c r="H45" s="1">
        <f t="shared" si="14"/>
        <v>28</v>
      </c>
      <c r="I45" s="1">
        <f t="shared" si="14"/>
        <v>39</v>
      </c>
      <c r="J45" s="3">
        <f t="shared" si="14"/>
        <v>52</v>
      </c>
      <c r="K45">
        <f t="shared" si="14"/>
        <v>67</v>
      </c>
      <c r="L45">
        <f t="shared" si="14"/>
        <v>84</v>
      </c>
      <c r="M45" s="2">
        <f t="shared" si="14"/>
        <v>103</v>
      </c>
      <c r="N45" s="1">
        <f t="shared" si="14"/>
        <v>124</v>
      </c>
      <c r="O45" s="1">
        <f t="shared" si="14"/>
        <v>147</v>
      </c>
      <c r="P45" s="3">
        <f t="shared" si="15"/>
        <v>172</v>
      </c>
      <c r="Q45">
        <f t="shared" si="15"/>
        <v>199</v>
      </c>
      <c r="R45">
        <f t="shared" si="15"/>
        <v>228</v>
      </c>
      <c r="S45" s="2">
        <f t="shared" si="15"/>
        <v>259</v>
      </c>
      <c r="T45" s="8">
        <f t="shared" si="16"/>
        <v>292</v>
      </c>
      <c r="U45" s="1">
        <f t="shared" si="16"/>
        <v>327</v>
      </c>
      <c r="V45" s="3">
        <f t="shared" si="16"/>
        <v>364</v>
      </c>
      <c r="W45" s="15">
        <f t="shared" si="16"/>
        <v>403</v>
      </c>
      <c r="X45" s="15">
        <f t="shared" si="16"/>
        <v>444</v>
      </c>
      <c r="Y45" s="2">
        <f t="shared" si="16"/>
        <v>487</v>
      </c>
      <c r="Z45" s="8">
        <f t="shared" si="16"/>
        <v>532</v>
      </c>
      <c r="AA45" s="1">
        <f t="shared" si="16"/>
        <v>579</v>
      </c>
      <c r="AB45" s="3">
        <f t="shared" si="16"/>
        <v>628</v>
      </c>
      <c r="AC45" s="15">
        <f t="shared" si="16"/>
        <v>679</v>
      </c>
      <c r="AD45" s="15">
        <f t="shared" si="16"/>
        <v>732</v>
      </c>
      <c r="AE45" s="2">
        <f t="shared" si="16"/>
        <v>787</v>
      </c>
      <c r="AF45" s="1">
        <f t="shared" si="16"/>
        <v>844</v>
      </c>
      <c r="AG45" s="1">
        <f t="shared" si="16"/>
        <v>903</v>
      </c>
    </row>
    <row r="46" spans="1:33" ht="16.5" thickTop="1" thickBot="1" x14ac:dyDescent="0.3">
      <c r="A46">
        <f t="shared" si="9"/>
        <v>3</v>
      </c>
      <c r="B46" s="12">
        <v>1</v>
      </c>
      <c r="C46" s="2">
        <f t="shared" si="14"/>
        <v>3</v>
      </c>
      <c r="D46" s="4">
        <f t="shared" si="14"/>
        <v>4</v>
      </c>
      <c r="E46">
        <f t="shared" si="14"/>
        <v>7</v>
      </c>
      <c r="F46">
        <f t="shared" si="14"/>
        <v>12</v>
      </c>
      <c r="G46">
        <f t="shared" si="14"/>
        <v>19</v>
      </c>
      <c r="H46" s="3">
        <f t="shared" si="14"/>
        <v>28</v>
      </c>
      <c r="I46" s="7">
        <f t="shared" si="14"/>
        <v>39</v>
      </c>
      <c r="J46" s="4">
        <f t="shared" si="14"/>
        <v>52</v>
      </c>
      <c r="K46">
        <f t="shared" si="14"/>
        <v>67</v>
      </c>
      <c r="L46">
        <f t="shared" si="14"/>
        <v>84</v>
      </c>
      <c r="M46">
        <f t="shared" si="14"/>
        <v>103</v>
      </c>
      <c r="N46" s="3">
        <f t="shared" si="14"/>
        <v>124</v>
      </c>
      <c r="O46" s="9">
        <f t="shared" si="14"/>
        <v>147</v>
      </c>
      <c r="P46" s="1">
        <f t="shared" si="15"/>
        <v>172</v>
      </c>
      <c r="Q46">
        <f t="shared" si="15"/>
        <v>199</v>
      </c>
      <c r="R46">
        <f t="shared" si="15"/>
        <v>228</v>
      </c>
      <c r="S46">
        <f t="shared" si="15"/>
        <v>259</v>
      </c>
      <c r="T46" s="6">
        <f t="shared" si="16"/>
        <v>292</v>
      </c>
      <c r="U46" s="7">
        <f t="shared" si="16"/>
        <v>327</v>
      </c>
      <c r="V46" s="8">
        <f t="shared" si="16"/>
        <v>364</v>
      </c>
      <c r="W46" s="15">
        <f t="shared" si="16"/>
        <v>403</v>
      </c>
      <c r="X46" s="15">
        <f t="shared" si="16"/>
        <v>444</v>
      </c>
      <c r="Y46" s="15">
        <f t="shared" si="16"/>
        <v>487</v>
      </c>
      <c r="Z46" s="6">
        <f t="shared" si="16"/>
        <v>532</v>
      </c>
      <c r="AA46" s="7">
        <f t="shared" si="16"/>
        <v>579</v>
      </c>
      <c r="AB46" s="8">
        <f t="shared" si="16"/>
        <v>628</v>
      </c>
      <c r="AC46" s="15">
        <f t="shared" si="16"/>
        <v>679</v>
      </c>
      <c r="AD46" s="15">
        <f t="shared" si="16"/>
        <v>732</v>
      </c>
      <c r="AE46" s="15">
        <f t="shared" si="16"/>
        <v>787</v>
      </c>
      <c r="AF46" s="3">
        <f t="shared" si="16"/>
        <v>844</v>
      </c>
      <c r="AG46" s="15">
        <f t="shared" si="16"/>
        <v>903</v>
      </c>
    </row>
    <row r="47" spans="1:33" ht="15.75" thickTop="1" x14ac:dyDescent="0.25">
      <c r="A47">
        <f t="shared" si="9"/>
        <v>3</v>
      </c>
      <c r="B47" s="12">
        <v>1</v>
      </c>
      <c r="C47">
        <f t="shared" si="14"/>
        <v>3</v>
      </c>
      <c r="D47" s="5">
        <f t="shared" si="14"/>
        <v>4</v>
      </c>
      <c r="E47">
        <f t="shared" si="14"/>
        <v>7</v>
      </c>
      <c r="F47">
        <f t="shared" si="14"/>
        <v>12</v>
      </c>
      <c r="G47" s="2">
        <f t="shared" si="14"/>
        <v>19</v>
      </c>
      <c r="H47">
        <f t="shared" si="14"/>
        <v>28</v>
      </c>
      <c r="I47">
        <f t="shared" si="14"/>
        <v>39</v>
      </c>
      <c r="J47" s="5">
        <f t="shared" si="14"/>
        <v>52</v>
      </c>
      <c r="K47">
        <f t="shared" si="14"/>
        <v>67</v>
      </c>
      <c r="L47">
        <f t="shared" si="14"/>
        <v>84</v>
      </c>
      <c r="M47" s="2">
        <f t="shared" si="14"/>
        <v>103</v>
      </c>
      <c r="N47">
        <f t="shared" si="14"/>
        <v>124</v>
      </c>
      <c r="O47">
        <f t="shared" si="14"/>
        <v>147</v>
      </c>
      <c r="P47" s="2">
        <f t="shared" si="15"/>
        <v>172</v>
      </c>
      <c r="Q47">
        <f t="shared" si="15"/>
        <v>199</v>
      </c>
      <c r="R47">
        <f t="shared" si="15"/>
        <v>228</v>
      </c>
      <c r="S47" s="2">
        <f t="shared" si="15"/>
        <v>259</v>
      </c>
      <c r="T47" s="15">
        <f t="shared" si="16"/>
        <v>292</v>
      </c>
      <c r="U47" s="15">
        <f t="shared" si="16"/>
        <v>327</v>
      </c>
      <c r="V47" s="5">
        <f t="shared" si="16"/>
        <v>364</v>
      </c>
      <c r="W47" s="15">
        <f t="shared" si="16"/>
        <v>403</v>
      </c>
      <c r="X47" s="15">
        <f t="shared" si="16"/>
        <v>444</v>
      </c>
      <c r="Y47" s="2">
        <f t="shared" si="16"/>
        <v>487</v>
      </c>
      <c r="Z47" s="15">
        <f t="shared" si="16"/>
        <v>532</v>
      </c>
      <c r="AA47" s="15">
        <f t="shared" si="16"/>
        <v>579</v>
      </c>
      <c r="AB47" s="5">
        <f t="shared" si="16"/>
        <v>628</v>
      </c>
      <c r="AC47" s="15">
        <f t="shared" si="16"/>
        <v>679</v>
      </c>
      <c r="AD47" s="15">
        <f t="shared" si="16"/>
        <v>732</v>
      </c>
      <c r="AE47" s="2">
        <f t="shared" si="16"/>
        <v>787</v>
      </c>
      <c r="AF47" s="15">
        <f t="shared" si="16"/>
        <v>844</v>
      </c>
      <c r="AG47" s="15">
        <f t="shared" si="16"/>
        <v>903</v>
      </c>
    </row>
    <row r="48" spans="1:33" ht="15.75" thickBot="1" x14ac:dyDescent="0.3">
      <c r="A48">
        <f t="shared" si="9"/>
        <v>0</v>
      </c>
      <c r="B48" s="12">
        <v>0</v>
      </c>
      <c r="C48">
        <f t="shared" si="14"/>
        <v>0</v>
      </c>
      <c r="D48" s="2">
        <f t="shared" si="14"/>
        <v>1</v>
      </c>
      <c r="E48" s="1">
        <f t="shared" si="14"/>
        <v>4</v>
      </c>
      <c r="F48" s="1">
        <f t="shared" si="14"/>
        <v>9</v>
      </c>
      <c r="G48" s="3">
        <f t="shared" si="14"/>
        <v>16</v>
      </c>
      <c r="H48">
        <f t="shared" si="14"/>
        <v>25</v>
      </c>
      <c r="I48">
        <f t="shared" si="14"/>
        <v>36</v>
      </c>
      <c r="J48" s="2">
        <f t="shared" si="14"/>
        <v>49</v>
      </c>
      <c r="K48" s="8">
        <f t="shared" si="14"/>
        <v>64</v>
      </c>
      <c r="L48" s="1">
        <f t="shared" si="14"/>
        <v>81</v>
      </c>
      <c r="M48" s="3">
        <f t="shared" si="14"/>
        <v>100</v>
      </c>
      <c r="N48">
        <f t="shared" si="14"/>
        <v>121</v>
      </c>
      <c r="O48">
        <f t="shared" si="14"/>
        <v>144</v>
      </c>
      <c r="P48" s="2">
        <f t="shared" ref="P48:AE50" si="17">P$1+$A48</f>
        <v>169</v>
      </c>
      <c r="Q48" s="1">
        <f t="shared" si="17"/>
        <v>196</v>
      </c>
      <c r="R48" s="1">
        <f t="shared" si="17"/>
        <v>225</v>
      </c>
      <c r="S48" s="3">
        <f t="shared" si="17"/>
        <v>256</v>
      </c>
      <c r="T48" s="15">
        <f t="shared" si="17"/>
        <v>289</v>
      </c>
      <c r="U48" s="15">
        <f t="shared" si="17"/>
        <v>324</v>
      </c>
      <c r="V48" s="2">
        <f t="shared" si="17"/>
        <v>361</v>
      </c>
      <c r="W48" s="8">
        <f t="shared" si="17"/>
        <v>400</v>
      </c>
      <c r="X48" s="1">
        <f t="shared" si="17"/>
        <v>441</v>
      </c>
      <c r="Y48" s="3">
        <f t="shared" si="17"/>
        <v>484</v>
      </c>
      <c r="Z48" s="15">
        <f t="shared" si="17"/>
        <v>529</v>
      </c>
      <c r="AA48" s="15">
        <f t="shared" si="17"/>
        <v>576</v>
      </c>
      <c r="AB48" s="2">
        <f t="shared" si="17"/>
        <v>625</v>
      </c>
      <c r="AC48" s="8">
        <f t="shared" si="17"/>
        <v>676</v>
      </c>
      <c r="AD48" s="1">
        <f t="shared" si="17"/>
        <v>729</v>
      </c>
      <c r="AE48" s="3">
        <f t="shared" si="17"/>
        <v>784</v>
      </c>
      <c r="AF48" s="15">
        <f t="shared" si="16"/>
        <v>841</v>
      </c>
      <c r="AG48" s="15">
        <f t="shared" si="16"/>
        <v>900</v>
      </c>
    </row>
    <row r="49" spans="1:33" ht="16.5" thickTop="1" thickBot="1" x14ac:dyDescent="0.3">
      <c r="A49">
        <f t="shared" si="9"/>
        <v>0</v>
      </c>
      <c r="B49" s="12">
        <v>0</v>
      </c>
      <c r="C49">
        <f t="shared" si="14"/>
        <v>0</v>
      </c>
      <c r="D49">
        <f t="shared" si="14"/>
        <v>1</v>
      </c>
      <c r="E49" s="6">
        <f t="shared" si="14"/>
        <v>4</v>
      </c>
      <c r="F49" s="5">
        <f t="shared" si="14"/>
        <v>9</v>
      </c>
      <c r="G49" s="4">
        <f t="shared" si="14"/>
        <v>16</v>
      </c>
      <c r="H49">
        <f t="shared" si="14"/>
        <v>25</v>
      </c>
      <c r="I49">
        <f t="shared" si="14"/>
        <v>36</v>
      </c>
      <c r="J49">
        <f t="shared" si="14"/>
        <v>49</v>
      </c>
      <c r="K49" s="6">
        <f t="shared" si="14"/>
        <v>64</v>
      </c>
      <c r="L49" s="7">
        <f t="shared" si="14"/>
        <v>81</v>
      </c>
      <c r="M49" s="8">
        <f t="shared" si="14"/>
        <v>100</v>
      </c>
      <c r="N49">
        <f t="shared" si="14"/>
        <v>121</v>
      </c>
      <c r="O49">
        <f t="shared" si="14"/>
        <v>144</v>
      </c>
      <c r="P49">
        <f t="shared" si="17"/>
        <v>169</v>
      </c>
      <c r="Q49" s="3">
        <f t="shared" si="17"/>
        <v>196</v>
      </c>
      <c r="R49" s="7">
        <f t="shared" si="17"/>
        <v>225</v>
      </c>
      <c r="S49" s="8">
        <f t="shared" si="17"/>
        <v>256</v>
      </c>
      <c r="T49" s="15">
        <f t="shared" si="16"/>
        <v>289</v>
      </c>
      <c r="U49" s="15">
        <f t="shared" si="16"/>
        <v>324</v>
      </c>
      <c r="V49" s="15">
        <f t="shared" si="16"/>
        <v>361</v>
      </c>
      <c r="W49" s="6">
        <f t="shared" si="16"/>
        <v>400</v>
      </c>
      <c r="X49" s="7">
        <f t="shared" si="16"/>
        <v>441</v>
      </c>
      <c r="Y49" s="4">
        <f t="shared" si="16"/>
        <v>484</v>
      </c>
      <c r="Z49" s="15">
        <f t="shared" si="16"/>
        <v>529</v>
      </c>
      <c r="AA49" s="15">
        <f t="shared" si="16"/>
        <v>576</v>
      </c>
      <c r="AB49" s="15">
        <f t="shared" si="16"/>
        <v>625</v>
      </c>
      <c r="AC49" s="6">
        <f t="shared" si="16"/>
        <v>676</v>
      </c>
      <c r="AD49" s="7">
        <f t="shared" si="16"/>
        <v>729</v>
      </c>
      <c r="AE49" s="8">
        <f t="shared" si="16"/>
        <v>784</v>
      </c>
      <c r="AF49" s="15">
        <f t="shared" si="16"/>
        <v>841</v>
      </c>
      <c r="AG49" s="15">
        <f t="shared" si="16"/>
        <v>900</v>
      </c>
    </row>
    <row r="50" spans="1:33" ht="15.75" thickTop="1" x14ac:dyDescent="0.25">
      <c r="A50">
        <f t="shared" si="9"/>
        <v>0</v>
      </c>
      <c r="B50" s="12">
        <v>0</v>
      </c>
      <c r="C50">
        <f t="shared" ref="C50:O50" si="18">C$1+$A50</f>
        <v>0</v>
      </c>
      <c r="D50" s="2">
        <f t="shared" si="18"/>
        <v>1</v>
      </c>
      <c r="E50">
        <f t="shared" si="18"/>
        <v>4</v>
      </c>
      <c r="F50">
        <f t="shared" si="18"/>
        <v>9</v>
      </c>
      <c r="G50" s="5">
        <f t="shared" si="18"/>
        <v>16</v>
      </c>
      <c r="H50">
        <f t="shared" si="18"/>
        <v>25</v>
      </c>
      <c r="I50">
        <f t="shared" si="18"/>
        <v>36</v>
      </c>
      <c r="J50" s="2">
        <f t="shared" si="18"/>
        <v>49</v>
      </c>
      <c r="K50">
        <f t="shared" si="18"/>
        <v>64</v>
      </c>
      <c r="L50">
        <f t="shared" si="18"/>
        <v>81</v>
      </c>
      <c r="M50" s="5">
        <f t="shared" si="18"/>
        <v>100</v>
      </c>
      <c r="N50">
        <f t="shared" si="18"/>
        <v>121</v>
      </c>
      <c r="O50">
        <f t="shared" si="18"/>
        <v>144</v>
      </c>
      <c r="P50" s="2">
        <f t="shared" si="17"/>
        <v>169</v>
      </c>
      <c r="Q50">
        <f t="shared" si="17"/>
        <v>196</v>
      </c>
      <c r="R50">
        <f t="shared" si="17"/>
        <v>225</v>
      </c>
      <c r="S50" s="5">
        <f t="shared" si="17"/>
        <v>256</v>
      </c>
      <c r="T50" s="15">
        <f t="shared" ref="T50:AG50" si="19">T$1+$A50</f>
        <v>289</v>
      </c>
      <c r="U50" s="15">
        <f t="shared" si="19"/>
        <v>324</v>
      </c>
      <c r="V50" s="2">
        <f t="shared" si="19"/>
        <v>361</v>
      </c>
      <c r="W50" s="15">
        <f t="shared" si="19"/>
        <v>400</v>
      </c>
      <c r="X50" s="15">
        <f t="shared" si="19"/>
        <v>441</v>
      </c>
      <c r="Y50" s="5">
        <f t="shared" si="19"/>
        <v>484</v>
      </c>
      <c r="Z50" s="15">
        <f t="shared" si="19"/>
        <v>529</v>
      </c>
      <c r="AA50" s="15">
        <f t="shared" si="19"/>
        <v>576</v>
      </c>
      <c r="AB50" s="2">
        <f t="shared" si="19"/>
        <v>625</v>
      </c>
      <c r="AC50" s="15">
        <f t="shared" si="19"/>
        <v>676</v>
      </c>
      <c r="AD50" s="15">
        <f t="shared" si="19"/>
        <v>729</v>
      </c>
      <c r="AE50" s="5">
        <f t="shared" si="19"/>
        <v>784</v>
      </c>
      <c r="AF50" s="15">
        <f t="shared" si="19"/>
        <v>841</v>
      </c>
      <c r="AG50" s="15">
        <f t="shared" si="19"/>
        <v>900</v>
      </c>
    </row>
  </sheetData>
  <conditionalFormatting sqref="C3:AG50">
    <cfRule type="cellIs" dxfId="4" priority="1" operator="lessThan">
      <formula>$B$2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D321-C991-4138-AC77-70CE4A2ADBBD}">
  <dimension ref="A1:N259"/>
  <sheetViews>
    <sheetView topLeftCell="A94" workbookViewId="0">
      <selection activeCell="N4" sqref="N4"/>
    </sheetView>
  </sheetViews>
  <sheetFormatPr defaultRowHeight="15" x14ac:dyDescent="0.25"/>
  <cols>
    <col min="2" max="2" width="9.140625" style="27"/>
    <col min="7" max="7" width="12.5703125" bestFit="1" customWidth="1"/>
    <col min="11" max="11" width="9.5703125" bestFit="1" customWidth="1"/>
  </cols>
  <sheetData>
    <row r="1" spans="1:14" x14ac:dyDescent="0.25">
      <c r="B1" s="23" t="s">
        <v>4</v>
      </c>
      <c r="C1" s="23"/>
      <c r="D1" s="23"/>
      <c r="E1" s="23"/>
      <c r="F1" s="23"/>
      <c r="G1" s="23"/>
      <c r="H1" s="23"/>
      <c r="I1" s="23" t="s">
        <v>6</v>
      </c>
      <c r="J1" s="23"/>
      <c r="K1" s="23"/>
      <c r="L1" s="23"/>
      <c r="M1" s="23" t="s">
        <v>12</v>
      </c>
      <c r="N1" s="23"/>
    </row>
    <row r="2" spans="1:14" x14ac:dyDescent="0.25">
      <c r="A2" t="s">
        <v>9</v>
      </c>
      <c r="B2" s="26"/>
      <c r="C2" s="10"/>
      <c r="D2" s="10"/>
      <c r="E2" s="10"/>
      <c r="F2" s="10"/>
      <c r="G2" s="10">
        <f>SQRT(3)/2</f>
        <v>0.8660254037844386</v>
      </c>
      <c r="H2" s="10"/>
      <c r="I2" s="10"/>
      <c r="J2" s="10"/>
      <c r="K2" s="10">
        <v>1</v>
      </c>
      <c r="L2" s="10"/>
    </row>
    <row r="3" spans="1:14" x14ac:dyDescent="0.25">
      <c r="A3" s="10" t="s">
        <v>5</v>
      </c>
      <c r="B3" s="26" t="s">
        <v>0</v>
      </c>
      <c r="C3" s="10" t="s">
        <v>1</v>
      </c>
      <c r="D3" s="10" t="s">
        <v>2</v>
      </c>
      <c r="E3" s="10" t="s">
        <v>3</v>
      </c>
      <c r="F3" s="10" t="s">
        <v>8</v>
      </c>
      <c r="G3" s="10" t="s">
        <v>11</v>
      </c>
      <c r="H3" s="10" t="s">
        <v>10</v>
      </c>
      <c r="I3" s="10" t="s">
        <v>7</v>
      </c>
      <c r="J3" s="10" t="s">
        <v>8</v>
      </c>
      <c r="K3" s="10" t="s">
        <v>11</v>
      </c>
      <c r="L3" s="10" t="s">
        <v>10</v>
      </c>
      <c r="M3" s="10" t="s">
        <v>8</v>
      </c>
      <c r="N3" s="10" t="s">
        <v>10</v>
      </c>
    </row>
    <row r="4" spans="1:14" x14ac:dyDescent="0.25">
      <c r="A4">
        <v>1</v>
      </c>
      <c r="B4" s="27">
        <f>(A4*SQRT(3)*2+2)/3-1</f>
        <v>0.8213672050459182</v>
      </c>
      <c r="C4">
        <f>CEILING(B4,1)</f>
        <v>1</v>
      </c>
      <c r="D4">
        <f>2*C4+1</f>
        <v>3</v>
      </c>
      <c r="E4">
        <f>4*A4+1</f>
        <v>5</v>
      </c>
      <c r="F4">
        <f>((D4*E4)-1)/2</f>
        <v>7</v>
      </c>
      <c r="G4" s="24">
        <f>(2*$A4)*(2*$A4)/G$2</f>
        <v>4.6188021535170067</v>
      </c>
      <c r="H4" s="24">
        <f>F4/G4</f>
        <v>1.5155444566227674</v>
      </c>
      <c r="I4">
        <f>A4*2+1</f>
        <v>3</v>
      </c>
      <c r="J4">
        <f>I4*I4</f>
        <v>9</v>
      </c>
      <c r="K4" s="25">
        <f>(2*$A4)*(2*$A4)/K$2</f>
        <v>4</v>
      </c>
      <c r="L4" s="24">
        <f>J4/K4</f>
        <v>2.25</v>
      </c>
      <c r="M4">
        <f>J4-F4</f>
        <v>2</v>
      </c>
      <c r="N4" s="24">
        <f>L4-H4</f>
        <v>0.73445554337723262</v>
      </c>
    </row>
    <row r="5" spans="1:14" x14ac:dyDescent="0.25">
      <c r="A5">
        <v>2</v>
      </c>
      <c r="B5" s="27">
        <f t="shared" ref="B5:B20" si="0">(A5*SQRT(3)*2+2)/3-1</f>
        <v>1.9760677434251694</v>
      </c>
      <c r="C5">
        <f t="shared" ref="C5:C20" si="1">CEILING(B5,1)</f>
        <v>2</v>
      </c>
      <c r="D5">
        <f t="shared" ref="D5:D20" si="2">2*C5+1</f>
        <v>5</v>
      </c>
      <c r="E5">
        <f t="shared" ref="E5:E20" si="3">4*A5+1</f>
        <v>9</v>
      </c>
      <c r="F5">
        <f t="shared" ref="F5:F20" si="4">((D5*E5)-1)/2</f>
        <v>22</v>
      </c>
      <c r="G5" s="24">
        <f t="shared" ref="G5:G25" si="5">(2*A5)*(2*A5)/G$2</f>
        <v>18.475208614068027</v>
      </c>
      <c r="H5" s="24">
        <f t="shared" ref="H5:H25" si="6">F5/G5</f>
        <v>1.1907849302036029</v>
      </c>
      <c r="I5">
        <f t="shared" ref="I5:I20" si="7">A5*2+1</f>
        <v>5</v>
      </c>
      <c r="J5">
        <f>I5*I5</f>
        <v>25</v>
      </c>
      <c r="K5" s="25">
        <f t="shared" ref="K5:K68" si="8">(2*$A5)*(2*$A5)/K$2</f>
        <v>16</v>
      </c>
      <c r="L5" s="24">
        <f t="shared" ref="L5:L25" si="9">J5/K5</f>
        <v>1.5625</v>
      </c>
      <c r="M5">
        <f>J5-F5</f>
        <v>3</v>
      </c>
      <c r="N5" s="24">
        <f t="shared" ref="N5:N35" si="10">L5-H5</f>
        <v>0.37171506979639712</v>
      </c>
    </row>
    <row r="6" spans="1:14" x14ac:dyDescent="0.25">
      <c r="A6">
        <v>3</v>
      </c>
      <c r="B6" s="27">
        <f t="shared" si="0"/>
        <v>3.1307682818044213</v>
      </c>
      <c r="C6">
        <f t="shared" si="1"/>
        <v>4</v>
      </c>
      <c r="D6">
        <f t="shared" si="2"/>
        <v>9</v>
      </c>
      <c r="E6">
        <f t="shared" si="3"/>
        <v>13</v>
      </c>
      <c r="F6">
        <f t="shared" si="4"/>
        <v>58</v>
      </c>
      <c r="G6" s="24">
        <f t="shared" si="5"/>
        <v>41.569219381653056</v>
      </c>
      <c r="H6" s="24">
        <f t="shared" si="6"/>
        <v>1.3952631505415956</v>
      </c>
      <c r="I6">
        <f t="shared" si="7"/>
        <v>7</v>
      </c>
      <c r="J6">
        <f>I6*I6</f>
        <v>49</v>
      </c>
      <c r="K6" s="25">
        <f t="shared" si="8"/>
        <v>36</v>
      </c>
      <c r="L6" s="24">
        <f t="shared" si="9"/>
        <v>1.3611111111111112</v>
      </c>
      <c r="M6">
        <f>J6-F6</f>
        <v>-9</v>
      </c>
      <c r="N6" s="24">
        <f t="shared" si="10"/>
        <v>-3.4152039430484393E-2</v>
      </c>
    </row>
    <row r="7" spans="1:14" x14ac:dyDescent="0.25">
      <c r="A7">
        <v>4</v>
      </c>
      <c r="B7" s="27">
        <f t="shared" si="0"/>
        <v>4.2854688201836728</v>
      </c>
      <c r="C7">
        <f t="shared" si="1"/>
        <v>5</v>
      </c>
      <c r="D7">
        <f t="shared" si="2"/>
        <v>11</v>
      </c>
      <c r="E7">
        <f t="shared" si="3"/>
        <v>17</v>
      </c>
      <c r="F7">
        <f t="shared" si="4"/>
        <v>93</v>
      </c>
      <c r="G7" s="24">
        <f t="shared" si="5"/>
        <v>73.900834456272108</v>
      </c>
      <c r="H7" s="24">
        <f t="shared" si="6"/>
        <v>1.2584431648742622</v>
      </c>
      <c r="I7">
        <f t="shared" si="7"/>
        <v>9</v>
      </c>
      <c r="J7">
        <f>I7*I7</f>
        <v>81</v>
      </c>
      <c r="K7" s="25">
        <f t="shared" si="8"/>
        <v>64</v>
      </c>
      <c r="L7" s="24">
        <f t="shared" si="9"/>
        <v>1.265625</v>
      </c>
      <c r="M7">
        <f>J7-F7</f>
        <v>-12</v>
      </c>
      <c r="N7" s="24">
        <f t="shared" si="10"/>
        <v>7.1818351257377788E-3</v>
      </c>
    </row>
    <row r="8" spans="1:14" x14ac:dyDescent="0.25">
      <c r="A8">
        <v>5</v>
      </c>
      <c r="B8" s="27">
        <f t="shared" si="0"/>
        <v>5.4401693585629234</v>
      </c>
      <c r="C8">
        <f t="shared" si="1"/>
        <v>6</v>
      </c>
      <c r="D8">
        <f t="shared" si="2"/>
        <v>13</v>
      </c>
      <c r="E8">
        <f t="shared" si="3"/>
        <v>21</v>
      </c>
      <c r="F8">
        <f t="shared" si="4"/>
        <v>136</v>
      </c>
      <c r="G8" s="24">
        <f t="shared" si="5"/>
        <v>115.47005383792516</v>
      </c>
      <c r="H8" s="24">
        <f t="shared" si="6"/>
        <v>1.1777945491468365</v>
      </c>
      <c r="I8">
        <f t="shared" si="7"/>
        <v>11</v>
      </c>
      <c r="J8">
        <f>I8*I8</f>
        <v>121</v>
      </c>
      <c r="K8" s="25">
        <f t="shared" si="8"/>
        <v>100</v>
      </c>
      <c r="L8" s="24">
        <f t="shared" si="9"/>
        <v>1.21</v>
      </c>
      <c r="M8">
        <f>J8-F8</f>
        <v>-15</v>
      </c>
      <c r="N8" s="24">
        <f t="shared" si="10"/>
        <v>3.2205450853163509E-2</v>
      </c>
    </row>
    <row r="9" spans="1:14" x14ac:dyDescent="0.25">
      <c r="A9">
        <v>6</v>
      </c>
      <c r="B9" s="27">
        <f t="shared" si="0"/>
        <v>6.5948698969421757</v>
      </c>
      <c r="C9">
        <f t="shared" si="1"/>
        <v>7</v>
      </c>
      <c r="D9">
        <f t="shared" si="2"/>
        <v>15</v>
      </c>
      <c r="E9">
        <f t="shared" si="3"/>
        <v>25</v>
      </c>
      <c r="F9">
        <f t="shared" si="4"/>
        <v>187</v>
      </c>
      <c r="G9" s="24">
        <f t="shared" si="5"/>
        <v>166.27687752661222</v>
      </c>
      <c r="H9" s="24">
        <f t="shared" si="6"/>
        <v>1.1246302118589584</v>
      </c>
      <c r="I9">
        <f t="shared" si="7"/>
        <v>13</v>
      </c>
      <c r="J9">
        <f>I9*I9</f>
        <v>169</v>
      </c>
      <c r="K9" s="25">
        <f t="shared" si="8"/>
        <v>144</v>
      </c>
      <c r="L9" s="24">
        <f t="shared" si="9"/>
        <v>1.1736111111111112</v>
      </c>
      <c r="M9">
        <f>J9-F9</f>
        <v>-18</v>
      </c>
      <c r="N9" s="24">
        <f t="shared" si="10"/>
        <v>4.8980899252152765E-2</v>
      </c>
    </row>
    <row r="10" spans="1:14" x14ac:dyDescent="0.25">
      <c r="A10">
        <v>7</v>
      </c>
      <c r="B10" s="27">
        <f t="shared" si="0"/>
        <v>7.7495704353214272</v>
      </c>
      <c r="C10">
        <f t="shared" si="1"/>
        <v>8</v>
      </c>
      <c r="D10">
        <f t="shared" si="2"/>
        <v>17</v>
      </c>
      <c r="E10">
        <f t="shared" si="3"/>
        <v>29</v>
      </c>
      <c r="F10">
        <f t="shared" si="4"/>
        <v>246</v>
      </c>
      <c r="G10" s="24">
        <f t="shared" si="5"/>
        <v>226.32130552233332</v>
      </c>
      <c r="H10" s="24">
        <f t="shared" si="6"/>
        <v>1.086950251688632</v>
      </c>
      <c r="I10">
        <f t="shared" si="7"/>
        <v>15</v>
      </c>
      <c r="J10">
        <f>I10*I10</f>
        <v>225</v>
      </c>
      <c r="K10" s="25">
        <f t="shared" si="8"/>
        <v>196</v>
      </c>
      <c r="L10" s="24">
        <f t="shared" si="9"/>
        <v>1.1479591836734695</v>
      </c>
      <c r="M10">
        <f>J10-F10</f>
        <v>-21</v>
      </c>
      <c r="N10" s="24">
        <f t="shared" si="10"/>
        <v>6.1008931984837478E-2</v>
      </c>
    </row>
    <row r="11" spans="1:14" x14ac:dyDescent="0.25">
      <c r="A11">
        <v>8</v>
      </c>
      <c r="B11" s="27">
        <f t="shared" si="0"/>
        <v>8.9042709737006778</v>
      </c>
      <c r="C11">
        <f t="shared" si="1"/>
        <v>9</v>
      </c>
      <c r="D11">
        <f t="shared" si="2"/>
        <v>19</v>
      </c>
      <c r="E11">
        <f t="shared" si="3"/>
        <v>33</v>
      </c>
      <c r="F11">
        <f t="shared" si="4"/>
        <v>313</v>
      </c>
      <c r="G11" s="24">
        <f t="shared" si="5"/>
        <v>295.60333782508843</v>
      </c>
      <c r="H11" s="24">
        <f t="shared" si="6"/>
        <v>1.0588513725958175</v>
      </c>
      <c r="I11">
        <f t="shared" si="7"/>
        <v>17</v>
      </c>
      <c r="J11">
        <f>I11*I11</f>
        <v>289</v>
      </c>
      <c r="K11" s="25">
        <f t="shared" si="8"/>
        <v>256</v>
      </c>
      <c r="L11" s="24">
        <f t="shared" si="9"/>
        <v>1.12890625</v>
      </c>
      <c r="M11">
        <f>J11-F11</f>
        <v>-24</v>
      </c>
      <c r="N11" s="24">
        <f t="shared" si="10"/>
        <v>7.0054877404182481E-2</v>
      </c>
    </row>
    <row r="12" spans="1:14" x14ac:dyDescent="0.25">
      <c r="A12">
        <v>9</v>
      </c>
      <c r="B12" s="27">
        <f t="shared" si="0"/>
        <v>10.05897151207993</v>
      </c>
      <c r="C12">
        <f t="shared" si="1"/>
        <v>11</v>
      </c>
      <c r="D12">
        <f t="shared" si="2"/>
        <v>23</v>
      </c>
      <c r="E12">
        <f t="shared" si="3"/>
        <v>37</v>
      </c>
      <c r="F12">
        <f t="shared" si="4"/>
        <v>425</v>
      </c>
      <c r="G12" s="24">
        <f t="shared" si="5"/>
        <v>374.12297443487751</v>
      </c>
      <c r="H12" s="24">
        <f t="shared" si="6"/>
        <v>1.135990112988847</v>
      </c>
      <c r="I12">
        <f t="shared" si="7"/>
        <v>19</v>
      </c>
      <c r="J12">
        <f>I12*I12</f>
        <v>361</v>
      </c>
      <c r="K12" s="25">
        <f t="shared" si="8"/>
        <v>324</v>
      </c>
      <c r="L12" s="24">
        <f t="shared" si="9"/>
        <v>1.1141975308641976</v>
      </c>
      <c r="M12">
        <f>J12-F12</f>
        <v>-64</v>
      </c>
      <c r="N12" s="24">
        <f t="shared" si="10"/>
        <v>-2.1792582124649407E-2</v>
      </c>
    </row>
    <row r="13" spans="1:14" x14ac:dyDescent="0.25">
      <c r="A13">
        <v>10</v>
      </c>
      <c r="B13" s="27">
        <f t="shared" si="0"/>
        <v>11.213672050459181</v>
      </c>
      <c r="C13">
        <f t="shared" si="1"/>
        <v>12</v>
      </c>
      <c r="D13">
        <f t="shared" si="2"/>
        <v>25</v>
      </c>
      <c r="E13">
        <f t="shared" si="3"/>
        <v>41</v>
      </c>
      <c r="F13">
        <f t="shared" si="4"/>
        <v>512</v>
      </c>
      <c r="G13" s="24">
        <f t="shared" si="5"/>
        <v>461.88021535170066</v>
      </c>
      <c r="H13" s="24">
        <f t="shared" si="6"/>
        <v>1.1085125168440813</v>
      </c>
      <c r="I13">
        <f t="shared" si="7"/>
        <v>21</v>
      </c>
      <c r="J13">
        <f>I13*I13</f>
        <v>441</v>
      </c>
      <c r="K13" s="25">
        <f t="shared" si="8"/>
        <v>400</v>
      </c>
      <c r="L13" s="24">
        <f t="shared" si="9"/>
        <v>1.1025</v>
      </c>
      <c r="M13">
        <f>J13-F13</f>
        <v>-71</v>
      </c>
      <c r="N13" s="24">
        <f t="shared" si="10"/>
        <v>-6.0125168440812171E-3</v>
      </c>
    </row>
    <row r="14" spans="1:14" x14ac:dyDescent="0.25">
      <c r="A14">
        <v>11</v>
      </c>
      <c r="B14" s="27">
        <f t="shared" si="0"/>
        <v>12.368372588838433</v>
      </c>
      <c r="C14">
        <f t="shared" si="1"/>
        <v>13</v>
      </c>
      <c r="D14">
        <f t="shared" si="2"/>
        <v>27</v>
      </c>
      <c r="E14">
        <f t="shared" si="3"/>
        <v>45</v>
      </c>
      <c r="F14">
        <f t="shared" si="4"/>
        <v>607</v>
      </c>
      <c r="G14" s="24">
        <f t="shared" si="5"/>
        <v>558.87506057555777</v>
      </c>
      <c r="H14" s="24">
        <f t="shared" si="6"/>
        <v>1.0861103721015584</v>
      </c>
      <c r="I14">
        <f t="shared" si="7"/>
        <v>23</v>
      </c>
      <c r="J14">
        <f>I14*I14</f>
        <v>529</v>
      </c>
      <c r="K14" s="25">
        <f t="shared" si="8"/>
        <v>484</v>
      </c>
      <c r="L14" s="24">
        <f t="shared" si="9"/>
        <v>1.0929752066115703</v>
      </c>
      <c r="M14">
        <f>J14-F14</f>
        <v>-78</v>
      </c>
      <c r="N14" s="24">
        <f t="shared" si="10"/>
        <v>6.8648345100119634E-3</v>
      </c>
    </row>
    <row r="15" spans="1:14" x14ac:dyDescent="0.25">
      <c r="A15">
        <v>12</v>
      </c>
      <c r="B15" s="27">
        <f t="shared" si="0"/>
        <v>13.523073127217685</v>
      </c>
      <c r="C15">
        <f t="shared" si="1"/>
        <v>14</v>
      </c>
      <c r="D15">
        <f t="shared" si="2"/>
        <v>29</v>
      </c>
      <c r="E15">
        <f t="shared" si="3"/>
        <v>49</v>
      </c>
      <c r="F15">
        <f t="shared" si="4"/>
        <v>710</v>
      </c>
      <c r="G15" s="24">
        <f t="shared" si="5"/>
        <v>665.1075101064489</v>
      </c>
      <c r="H15" s="24">
        <f t="shared" si="6"/>
        <v>1.0674965914704018</v>
      </c>
      <c r="I15">
        <f t="shared" si="7"/>
        <v>25</v>
      </c>
      <c r="J15">
        <f>I15*I15</f>
        <v>625</v>
      </c>
      <c r="K15" s="25">
        <f t="shared" si="8"/>
        <v>576</v>
      </c>
      <c r="L15" s="24">
        <f t="shared" si="9"/>
        <v>1.0850694444444444</v>
      </c>
      <c r="M15">
        <f>J15-F15</f>
        <v>-85</v>
      </c>
      <c r="N15" s="24">
        <f t="shared" si="10"/>
        <v>1.7572852974042652E-2</v>
      </c>
    </row>
    <row r="16" spans="1:14" x14ac:dyDescent="0.25">
      <c r="A16">
        <v>13</v>
      </c>
      <c r="B16" s="27">
        <f t="shared" si="0"/>
        <v>14.677773665596936</v>
      </c>
      <c r="C16">
        <f t="shared" si="1"/>
        <v>15</v>
      </c>
      <c r="D16">
        <f t="shared" si="2"/>
        <v>31</v>
      </c>
      <c r="E16">
        <f t="shared" si="3"/>
        <v>53</v>
      </c>
      <c r="F16">
        <f t="shared" si="4"/>
        <v>821</v>
      </c>
      <c r="G16" s="24">
        <f t="shared" si="5"/>
        <v>780.57756394437411</v>
      </c>
      <c r="H16" s="24">
        <f t="shared" si="6"/>
        <v>1.051785290690864</v>
      </c>
      <c r="I16">
        <f t="shared" si="7"/>
        <v>27</v>
      </c>
      <c r="J16">
        <f>I16*I16</f>
        <v>729</v>
      </c>
      <c r="K16" s="25">
        <f t="shared" si="8"/>
        <v>676</v>
      </c>
      <c r="L16" s="24">
        <f t="shared" si="9"/>
        <v>1.0784023668639053</v>
      </c>
      <c r="M16">
        <f>J16-F16</f>
        <v>-92</v>
      </c>
      <c r="N16" s="24">
        <f t="shared" si="10"/>
        <v>2.6617076173041321E-2</v>
      </c>
    </row>
    <row r="17" spans="1:14" x14ac:dyDescent="0.25">
      <c r="A17">
        <v>14</v>
      </c>
      <c r="B17" s="27">
        <f t="shared" si="0"/>
        <v>15.832474203976187</v>
      </c>
      <c r="C17">
        <f t="shared" si="1"/>
        <v>16</v>
      </c>
      <c r="D17">
        <f t="shared" si="2"/>
        <v>33</v>
      </c>
      <c r="E17">
        <f t="shared" si="3"/>
        <v>57</v>
      </c>
      <c r="F17">
        <f t="shared" si="4"/>
        <v>940</v>
      </c>
      <c r="G17" s="24">
        <f t="shared" si="5"/>
        <v>905.28522208933327</v>
      </c>
      <c r="H17" s="24">
        <f t="shared" si="6"/>
        <v>1.0383467851497095</v>
      </c>
      <c r="I17">
        <f t="shared" si="7"/>
        <v>29</v>
      </c>
      <c r="J17">
        <f>I17*I17</f>
        <v>841</v>
      </c>
      <c r="K17" s="25">
        <f t="shared" si="8"/>
        <v>784</v>
      </c>
      <c r="L17" s="24">
        <f t="shared" si="9"/>
        <v>1.072704081632653</v>
      </c>
      <c r="M17">
        <f>J17-F17</f>
        <v>-99</v>
      </c>
      <c r="N17" s="24">
        <f t="shared" si="10"/>
        <v>3.43572964829435E-2</v>
      </c>
    </row>
    <row r="18" spans="1:14" x14ac:dyDescent="0.25">
      <c r="A18">
        <v>15</v>
      </c>
      <c r="B18" s="27">
        <f t="shared" si="0"/>
        <v>16.987174742355439</v>
      </c>
      <c r="C18">
        <f t="shared" si="1"/>
        <v>17</v>
      </c>
      <c r="D18">
        <f t="shared" si="2"/>
        <v>35</v>
      </c>
      <c r="E18">
        <f t="shared" si="3"/>
        <v>61</v>
      </c>
      <c r="F18">
        <f t="shared" si="4"/>
        <v>1067</v>
      </c>
      <c r="G18" s="24">
        <f t="shared" si="5"/>
        <v>1039.2304845413264</v>
      </c>
      <c r="H18" s="24">
        <f t="shared" si="6"/>
        <v>1.0267212287088845</v>
      </c>
      <c r="I18">
        <f t="shared" si="7"/>
        <v>31</v>
      </c>
      <c r="J18">
        <f>I18*I18</f>
        <v>961</v>
      </c>
      <c r="K18" s="25">
        <f t="shared" si="8"/>
        <v>900</v>
      </c>
      <c r="L18" s="24">
        <f t="shared" si="9"/>
        <v>1.0677777777777777</v>
      </c>
      <c r="M18">
        <f>J18-F18</f>
        <v>-106</v>
      </c>
      <c r="N18" s="24">
        <f t="shared" si="10"/>
        <v>4.1056549068893222E-2</v>
      </c>
    </row>
    <row r="19" spans="1:14" x14ac:dyDescent="0.25">
      <c r="A19">
        <v>16</v>
      </c>
      <c r="B19" s="27">
        <f t="shared" si="0"/>
        <v>18.141875280734691</v>
      </c>
      <c r="C19">
        <f t="shared" si="1"/>
        <v>19</v>
      </c>
      <c r="D19">
        <f t="shared" si="2"/>
        <v>39</v>
      </c>
      <c r="E19">
        <f t="shared" si="3"/>
        <v>65</v>
      </c>
      <c r="F19">
        <f t="shared" si="4"/>
        <v>1267</v>
      </c>
      <c r="G19" s="24">
        <f t="shared" si="5"/>
        <v>1182.4133513003537</v>
      </c>
      <c r="H19" s="24">
        <f t="shared" si="6"/>
        <v>1.071537291596566</v>
      </c>
      <c r="I19">
        <f t="shared" si="7"/>
        <v>33</v>
      </c>
      <c r="J19">
        <f>I19*I19</f>
        <v>1089</v>
      </c>
      <c r="K19" s="25">
        <f t="shared" si="8"/>
        <v>1024</v>
      </c>
      <c r="L19" s="24">
        <f t="shared" si="9"/>
        <v>1.0634765625</v>
      </c>
      <c r="M19">
        <f>J19-F19</f>
        <v>-178</v>
      </c>
      <c r="N19" s="24">
        <f t="shared" si="10"/>
        <v>-8.0607290965659661E-3</v>
      </c>
    </row>
    <row r="20" spans="1:14" x14ac:dyDescent="0.25">
      <c r="A20">
        <v>17</v>
      </c>
      <c r="B20" s="27">
        <f t="shared" si="0"/>
        <v>19.296575819113944</v>
      </c>
      <c r="C20">
        <f t="shared" si="1"/>
        <v>20</v>
      </c>
      <c r="D20">
        <f t="shared" si="2"/>
        <v>41</v>
      </c>
      <c r="E20">
        <f t="shared" si="3"/>
        <v>69</v>
      </c>
      <c r="F20">
        <f t="shared" si="4"/>
        <v>1414</v>
      </c>
      <c r="G20" s="24">
        <f t="shared" si="5"/>
        <v>1334.8338223664148</v>
      </c>
      <c r="H20" s="24">
        <f t="shared" si="6"/>
        <v>1.0593078900961905</v>
      </c>
      <c r="I20">
        <f t="shared" si="7"/>
        <v>35</v>
      </c>
      <c r="J20">
        <f>I20*I20</f>
        <v>1225</v>
      </c>
      <c r="K20" s="25">
        <f t="shared" si="8"/>
        <v>1156</v>
      </c>
      <c r="L20" s="24">
        <f t="shared" si="9"/>
        <v>1.0596885813148789</v>
      </c>
      <c r="M20">
        <f>J20-F20</f>
        <v>-189</v>
      </c>
      <c r="N20" s="24">
        <f t="shared" si="10"/>
        <v>3.8069121868833378E-4</v>
      </c>
    </row>
    <row r="21" spans="1:14" x14ac:dyDescent="0.25">
      <c r="A21">
        <v>18</v>
      </c>
      <c r="B21" s="27">
        <f t="shared" ref="B21:B25" si="11">(A21*SQRT(3)*2+2)/3-1</f>
        <v>20.451276357493196</v>
      </c>
      <c r="C21">
        <f t="shared" ref="C21:C25" si="12">CEILING(B21,1)</f>
        <v>21</v>
      </c>
      <c r="D21">
        <f t="shared" ref="D21:D25" si="13">2*C21+1</f>
        <v>43</v>
      </c>
      <c r="E21">
        <f t="shared" ref="E21:E25" si="14">4*A21+1</f>
        <v>73</v>
      </c>
      <c r="F21">
        <f t="shared" ref="F21:F25" si="15">((D21*E21)-1)/2</f>
        <v>1569</v>
      </c>
      <c r="G21" s="24">
        <f t="shared" si="5"/>
        <v>1496.49189773951</v>
      </c>
      <c r="H21" s="24">
        <f t="shared" si="6"/>
        <v>1.0484520513408828</v>
      </c>
      <c r="I21">
        <f t="shared" ref="I21:I25" si="16">A21*2+1</f>
        <v>37</v>
      </c>
      <c r="J21">
        <f>I21*I21</f>
        <v>1369</v>
      </c>
      <c r="K21" s="25">
        <f t="shared" si="8"/>
        <v>1296</v>
      </c>
      <c r="L21" s="24">
        <f t="shared" si="9"/>
        <v>1.0563271604938271</v>
      </c>
      <c r="M21">
        <f>J21-F21</f>
        <v>-200</v>
      </c>
      <c r="N21" s="24">
        <f t="shared" si="10"/>
        <v>7.8751091529443151E-3</v>
      </c>
    </row>
    <row r="22" spans="1:14" x14ac:dyDescent="0.25">
      <c r="A22">
        <v>19</v>
      </c>
      <c r="B22" s="27">
        <f t="shared" si="11"/>
        <v>21.605976895872445</v>
      </c>
      <c r="C22">
        <f t="shared" si="12"/>
        <v>22</v>
      </c>
      <c r="D22">
        <f t="shared" si="13"/>
        <v>45</v>
      </c>
      <c r="E22">
        <f t="shared" si="14"/>
        <v>77</v>
      </c>
      <c r="F22">
        <f t="shared" si="15"/>
        <v>1732</v>
      </c>
      <c r="G22" s="24">
        <f t="shared" si="5"/>
        <v>1667.3875774196392</v>
      </c>
      <c r="H22" s="24">
        <f t="shared" si="6"/>
        <v>1.0387506920738558</v>
      </c>
      <c r="I22">
        <f t="shared" si="16"/>
        <v>39</v>
      </c>
      <c r="J22">
        <f>I22*I22</f>
        <v>1521</v>
      </c>
      <c r="K22" s="25">
        <f t="shared" si="8"/>
        <v>1444</v>
      </c>
      <c r="L22" s="24">
        <f t="shared" si="9"/>
        <v>1.0533240997229918</v>
      </c>
      <c r="M22">
        <f>J22-F22</f>
        <v>-211</v>
      </c>
      <c r="N22" s="24">
        <f t="shared" si="10"/>
        <v>1.457340764913595E-2</v>
      </c>
    </row>
    <row r="23" spans="1:14" x14ac:dyDescent="0.25">
      <c r="A23">
        <v>20</v>
      </c>
      <c r="B23" s="27">
        <f t="shared" si="11"/>
        <v>22.760677434251694</v>
      </c>
      <c r="C23">
        <f t="shared" si="12"/>
        <v>23</v>
      </c>
      <c r="D23">
        <f t="shared" si="13"/>
        <v>47</v>
      </c>
      <c r="E23">
        <f t="shared" si="14"/>
        <v>81</v>
      </c>
      <c r="F23">
        <f t="shared" si="15"/>
        <v>1903</v>
      </c>
      <c r="G23" s="24">
        <f t="shared" si="5"/>
        <v>1847.5208614068026</v>
      </c>
      <c r="H23" s="24">
        <f t="shared" si="6"/>
        <v>1.0300289646261167</v>
      </c>
      <c r="I23">
        <f t="shared" si="16"/>
        <v>41</v>
      </c>
      <c r="J23">
        <f>I23*I23</f>
        <v>1681</v>
      </c>
      <c r="K23" s="25">
        <f t="shared" si="8"/>
        <v>1600</v>
      </c>
      <c r="L23" s="24">
        <f t="shared" si="9"/>
        <v>1.0506249999999999</v>
      </c>
      <c r="M23">
        <f>J23-F23</f>
        <v>-222</v>
      </c>
      <c r="N23" s="24">
        <f t="shared" si="10"/>
        <v>2.0596035373883215E-2</v>
      </c>
    </row>
    <row r="24" spans="1:14" x14ac:dyDescent="0.25">
      <c r="A24">
        <v>21</v>
      </c>
      <c r="B24" s="27">
        <f t="shared" si="11"/>
        <v>23.915377972630949</v>
      </c>
      <c r="C24">
        <f t="shared" si="12"/>
        <v>24</v>
      </c>
      <c r="D24">
        <f t="shared" si="13"/>
        <v>49</v>
      </c>
      <c r="E24">
        <f t="shared" si="14"/>
        <v>85</v>
      </c>
      <c r="F24">
        <f t="shared" si="15"/>
        <v>2082</v>
      </c>
      <c r="G24" s="24">
        <f t="shared" si="5"/>
        <v>2036.8917497009998</v>
      </c>
      <c r="H24" s="24">
        <f t="shared" si="6"/>
        <v>1.0221456296367353</v>
      </c>
      <c r="I24">
        <f t="shared" si="16"/>
        <v>43</v>
      </c>
      <c r="J24">
        <f>I24*I24</f>
        <v>1849</v>
      </c>
      <c r="K24" s="25">
        <f t="shared" si="8"/>
        <v>1764</v>
      </c>
      <c r="L24" s="24">
        <f t="shared" si="9"/>
        <v>1.0481859410430838</v>
      </c>
      <c r="M24">
        <f>J24-F24</f>
        <v>-233</v>
      </c>
      <c r="N24" s="24">
        <f t="shared" si="10"/>
        <v>2.6040311406348549E-2</v>
      </c>
    </row>
    <row r="25" spans="1:14" x14ac:dyDescent="0.25">
      <c r="A25">
        <v>22</v>
      </c>
      <c r="B25" s="27">
        <f t="shared" si="11"/>
        <v>25.070078511010198</v>
      </c>
      <c r="C25">
        <f t="shared" si="12"/>
        <v>26</v>
      </c>
      <c r="D25">
        <f t="shared" si="13"/>
        <v>53</v>
      </c>
      <c r="E25">
        <f t="shared" si="14"/>
        <v>89</v>
      </c>
      <c r="F25">
        <f t="shared" si="15"/>
        <v>2358</v>
      </c>
      <c r="G25" s="24">
        <f t="shared" si="5"/>
        <v>2235.5002423022311</v>
      </c>
      <c r="H25" s="24">
        <f t="shared" si="6"/>
        <v>1.0547974701052201</v>
      </c>
      <c r="I25">
        <f t="shared" si="16"/>
        <v>45</v>
      </c>
      <c r="J25">
        <f>I25*I25</f>
        <v>2025</v>
      </c>
      <c r="K25" s="25">
        <f t="shared" si="8"/>
        <v>1936</v>
      </c>
      <c r="L25" s="24">
        <f t="shared" si="9"/>
        <v>1.0459710743801653</v>
      </c>
      <c r="M25">
        <f>J25-F25</f>
        <v>-333</v>
      </c>
      <c r="N25" s="24">
        <f t="shared" si="10"/>
        <v>-8.8263957250547254E-3</v>
      </c>
    </row>
    <row r="26" spans="1:14" x14ac:dyDescent="0.25">
      <c r="A26">
        <v>23</v>
      </c>
      <c r="B26" s="27">
        <f t="shared" ref="B26:B32" si="17">(A26*SQRT(3)*2+2)/3-1</f>
        <v>26.224779049389451</v>
      </c>
      <c r="C26">
        <f t="shared" ref="C26:C32" si="18">CEILING(B26,1)</f>
        <v>27</v>
      </c>
      <c r="D26">
        <f t="shared" ref="D26:D32" si="19">2*C26+1</f>
        <v>55</v>
      </c>
      <c r="E26">
        <f t="shared" ref="E26:E32" si="20">4*A26+1</f>
        <v>93</v>
      </c>
      <c r="F26">
        <f t="shared" ref="F26:F32" si="21">((D26*E26)-1)/2</f>
        <v>2557</v>
      </c>
      <c r="G26" s="24">
        <f t="shared" ref="G26:G32" si="22">(2*A26)*(2*A26)/G$2</f>
        <v>2443.3463392104964</v>
      </c>
      <c r="H26" s="24">
        <f t="shared" ref="H26:H32" si="23">F26/G26</f>
        <v>1.0465155753671123</v>
      </c>
      <c r="I26">
        <f t="shared" ref="I26:I32" si="24">A26*2+1</f>
        <v>47</v>
      </c>
      <c r="J26">
        <f t="shared" ref="J26:J91" si="25">I26*I26</f>
        <v>2209</v>
      </c>
      <c r="K26" s="25">
        <f t="shared" si="8"/>
        <v>2116</v>
      </c>
      <c r="L26" s="24">
        <f t="shared" ref="L26:L32" si="26">J26/K26</f>
        <v>1.0439508506616257</v>
      </c>
      <c r="M26">
        <f t="shared" ref="M26:M32" si="27">J26-F26</f>
        <v>-348</v>
      </c>
      <c r="N26" s="24">
        <f t="shared" si="10"/>
        <v>-2.5647247054865208E-3</v>
      </c>
    </row>
    <row r="27" spans="1:14" x14ac:dyDescent="0.25">
      <c r="A27">
        <v>24</v>
      </c>
      <c r="B27" s="27">
        <f t="shared" si="17"/>
        <v>27.379479587768703</v>
      </c>
      <c r="C27">
        <f t="shared" si="18"/>
        <v>28</v>
      </c>
      <c r="D27">
        <f t="shared" si="19"/>
        <v>57</v>
      </c>
      <c r="E27">
        <f t="shared" si="20"/>
        <v>97</v>
      </c>
      <c r="F27">
        <f t="shared" si="21"/>
        <v>2764</v>
      </c>
      <c r="G27" s="24">
        <f t="shared" si="22"/>
        <v>2660.4300404257956</v>
      </c>
      <c r="H27" s="24">
        <f t="shared" si="23"/>
        <v>1.0389297812761233</v>
      </c>
      <c r="I27">
        <f t="shared" si="24"/>
        <v>49</v>
      </c>
      <c r="J27">
        <f t="shared" si="25"/>
        <v>2401</v>
      </c>
      <c r="K27" s="25">
        <f t="shared" si="8"/>
        <v>2304</v>
      </c>
      <c r="L27" s="24">
        <f t="shared" si="26"/>
        <v>1.0421006944444444</v>
      </c>
      <c r="M27">
        <f t="shared" si="27"/>
        <v>-363</v>
      </c>
      <c r="N27" s="24">
        <f t="shared" si="10"/>
        <v>3.1709131683210767E-3</v>
      </c>
    </row>
    <row r="28" spans="1:14" x14ac:dyDescent="0.25">
      <c r="A28">
        <v>25</v>
      </c>
      <c r="B28" s="27">
        <f t="shared" si="17"/>
        <v>28.534180126147955</v>
      </c>
      <c r="C28">
        <f t="shared" si="18"/>
        <v>29</v>
      </c>
      <c r="D28">
        <f t="shared" si="19"/>
        <v>59</v>
      </c>
      <c r="E28">
        <f t="shared" si="20"/>
        <v>101</v>
      </c>
      <c r="F28">
        <f t="shared" si="21"/>
        <v>2979</v>
      </c>
      <c r="G28" s="24">
        <f t="shared" si="22"/>
        <v>2886.7513459481288</v>
      </c>
      <c r="H28" s="24">
        <f t="shared" si="23"/>
        <v>1.0319558711495371</v>
      </c>
      <c r="I28">
        <f t="shared" si="24"/>
        <v>51</v>
      </c>
      <c r="J28">
        <f t="shared" si="25"/>
        <v>2601</v>
      </c>
      <c r="K28" s="25">
        <f t="shared" si="8"/>
        <v>2500</v>
      </c>
      <c r="L28" s="24">
        <f t="shared" si="26"/>
        <v>1.0404</v>
      </c>
      <c r="M28">
        <f t="shared" si="27"/>
        <v>-378</v>
      </c>
      <c r="N28" s="24">
        <f t="shared" si="10"/>
        <v>8.444128850462862E-3</v>
      </c>
    </row>
    <row r="29" spans="1:14" x14ac:dyDescent="0.25">
      <c r="A29">
        <v>26</v>
      </c>
      <c r="B29" s="27">
        <f t="shared" si="17"/>
        <v>29.688880664527204</v>
      </c>
      <c r="C29">
        <f t="shared" si="18"/>
        <v>30</v>
      </c>
      <c r="D29">
        <f t="shared" si="19"/>
        <v>61</v>
      </c>
      <c r="E29">
        <f t="shared" si="20"/>
        <v>105</v>
      </c>
      <c r="F29">
        <f t="shared" si="21"/>
        <v>3202</v>
      </c>
      <c r="G29" s="24">
        <f t="shared" si="22"/>
        <v>3122.3102557774964</v>
      </c>
      <c r="H29" s="24">
        <f t="shared" si="23"/>
        <v>1.0255226859903004</v>
      </c>
      <c r="I29">
        <f t="shared" si="24"/>
        <v>53</v>
      </c>
      <c r="J29">
        <f t="shared" si="25"/>
        <v>2809</v>
      </c>
      <c r="K29" s="25">
        <f t="shared" si="8"/>
        <v>2704</v>
      </c>
      <c r="L29" s="24">
        <f t="shared" si="26"/>
        <v>1.0388313609467457</v>
      </c>
      <c r="M29">
        <f t="shared" si="27"/>
        <v>-393</v>
      </c>
      <c r="N29" s="24">
        <f t="shared" si="10"/>
        <v>1.3308674956445277E-2</v>
      </c>
    </row>
    <row r="30" spans="1:14" x14ac:dyDescent="0.25">
      <c r="A30">
        <v>27</v>
      </c>
      <c r="B30" s="27">
        <f t="shared" si="17"/>
        <v>30.843581202906453</v>
      </c>
      <c r="C30">
        <f t="shared" si="18"/>
        <v>31</v>
      </c>
      <c r="D30">
        <f t="shared" si="19"/>
        <v>63</v>
      </c>
      <c r="E30">
        <f t="shared" si="20"/>
        <v>109</v>
      </c>
      <c r="F30">
        <f t="shared" si="21"/>
        <v>3433</v>
      </c>
      <c r="G30" s="24">
        <f t="shared" si="22"/>
        <v>3367.1067699138976</v>
      </c>
      <c r="H30" s="24">
        <f t="shared" si="23"/>
        <v>1.019569688337441</v>
      </c>
      <c r="I30">
        <f t="shared" si="24"/>
        <v>55</v>
      </c>
      <c r="J30">
        <f t="shared" si="25"/>
        <v>3025</v>
      </c>
      <c r="K30" s="25">
        <f t="shared" si="8"/>
        <v>2916</v>
      </c>
      <c r="L30" s="24">
        <f t="shared" si="26"/>
        <v>1.0373799725651578</v>
      </c>
      <c r="M30">
        <f t="shared" si="27"/>
        <v>-408</v>
      </c>
      <c r="N30" s="24">
        <f t="shared" si="10"/>
        <v>1.7810284227716799E-2</v>
      </c>
    </row>
    <row r="31" spans="1:14" x14ac:dyDescent="0.25">
      <c r="A31">
        <v>28</v>
      </c>
      <c r="B31" s="27">
        <f t="shared" si="17"/>
        <v>31.998281741285709</v>
      </c>
      <c r="C31">
        <f t="shared" si="18"/>
        <v>32</v>
      </c>
      <c r="D31">
        <f t="shared" si="19"/>
        <v>65</v>
      </c>
      <c r="E31">
        <f t="shared" si="20"/>
        <v>113</v>
      </c>
      <c r="F31">
        <f t="shared" si="21"/>
        <v>3672</v>
      </c>
      <c r="G31" s="24">
        <f t="shared" si="22"/>
        <v>3621.1408883573331</v>
      </c>
      <c r="H31" s="24">
        <f t="shared" si="23"/>
        <v>1.0140450518802482</v>
      </c>
      <c r="I31">
        <f t="shared" si="24"/>
        <v>57</v>
      </c>
      <c r="J31">
        <f t="shared" si="25"/>
        <v>3249</v>
      </c>
      <c r="K31" s="25">
        <f t="shared" si="8"/>
        <v>3136</v>
      </c>
      <c r="L31" s="24">
        <f t="shared" si="26"/>
        <v>1.0360331632653061</v>
      </c>
      <c r="M31">
        <f t="shared" si="27"/>
        <v>-423</v>
      </c>
      <c r="N31" s="24">
        <f t="shared" si="10"/>
        <v>2.1988111385057962E-2</v>
      </c>
    </row>
    <row r="32" spans="1:14" x14ac:dyDescent="0.25">
      <c r="A32">
        <v>29</v>
      </c>
      <c r="B32" s="27">
        <f t="shared" si="17"/>
        <v>33.152982279664961</v>
      </c>
      <c r="C32">
        <f t="shared" si="18"/>
        <v>34</v>
      </c>
      <c r="D32">
        <f t="shared" si="19"/>
        <v>69</v>
      </c>
      <c r="E32">
        <f t="shared" si="20"/>
        <v>117</v>
      </c>
      <c r="F32">
        <f t="shared" si="21"/>
        <v>4036</v>
      </c>
      <c r="G32" s="24">
        <f t="shared" si="22"/>
        <v>3884.4126111078021</v>
      </c>
      <c r="H32" s="24">
        <f t="shared" si="23"/>
        <v>1.0390245331967878</v>
      </c>
      <c r="I32">
        <f t="shared" si="24"/>
        <v>59</v>
      </c>
      <c r="J32">
        <f t="shared" si="25"/>
        <v>3481</v>
      </c>
      <c r="K32" s="25">
        <f t="shared" si="8"/>
        <v>3364</v>
      </c>
      <c r="L32" s="24">
        <f t="shared" si="26"/>
        <v>1.0347800237812128</v>
      </c>
      <c r="M32">
        <f t="shared" si="27"/>
        <v>-555</v>
      </c>
      <c r="N32" s="24">
        <f t="shared" si="10"/>
        <v>-4.2445094155749707E-3</v>
      </c>
    </row>
    <row r="33" spans="1:14" x14ac:dyDescent="0.25">
      <c r="A33">
        <v>30</v>
      </c>
      <c r="B33" s="27">
        <f t="shared" ref="B33:B35" si="28">(A33*SQRT(3)*2+2)/3-1</f>
        <v>34.307682818044206</v>
      </c>
      <c r="C33">
        <f t="shared" ref="C33:C35" si="29">CEILING(B33,1)</f>
        <v>35</v>
      </c>
      <c r="D33">
        <f t="shared" ref="D33:D35" si="30">2*C33+1</f>
        <v>71</v>
      </c>
      <c r="E33">
        <f t="shared" ref="E33:E35" si="31">4*A33+1</f>
        <v>121</v>
      </c>
      <c r="F33">
        <f t="shared" ref="F33:F35" si="32">((D33*E33)-1)/2</f>
        <v>4295</v>
      </c>
      <c r="G33" s="24">
        <f t="shared" ref="G33:G35" si="33">(2*A33)*(2*A33)/G$2</f>
        <v>4156.9219381653056</v>
      </c>
      <c r="H33" s="24">
        <f t="shared" ref="H33:H35" si="34">F33/G33</f>
        <v>1.0332164192372677</v>
      </c>
      <c r="I33">
        <f t="shared" ref="I33:I35" si="35">A33*2+1</f>
        <v>61</v>
      </c>
      <c r="J33">
        <f t="shared" si="25"/>
        <v>3721</v>
      </c>
      <c r="K33" s="25">
        <f t="shared" si="8"/>
        <v>3600</v>
      </c>
      <c r="L33" s="24">
        <f t="shared" ref="L33:L35" si="36">J33/K33</f>
        <v>1.033611111111111</v>
      </c>
      <c r="M33">
        <f t="shared" ref="M33:M35" si="37">J33-F33</f>
        <v>-574</v>
      </c>
      <c r="N33" s="24">
        <f t="shared" si="10"/>
        <v>3.946918738433336E-4</v>
      </c>
    </row>
    <row r="34" spans="1:14" x14ac:dyDescent="0.25">
      <c r="A34">
        <v>31</v>
      </c>
      <c r="B34" s="27">
        <f t="shared" si="28"/>
        <v>35.462383356423466</v>
      </c>
      <c r="C34">
        <f t="shared" si="29"/>
        <v>36</v>
      </c>
      <c r="D34">
        <f t="shared" si="30"/>
        <v>73</v>
      </c>
      <c r="E34">
        <f t="shared" si="31"/>
        <v>125</v>
      </c>
      <c r="F34">
        <f t="shared" si="32"/>
        <v>4562</v>
      </c>
      <c r="G34" s="24">
        <f t="shared" si="33"/>
        <v>4438.6688695298435</v>
      </c>
      <c r="H34" s="24">
        <f t="shared" si="34"/>
        <v>1.0277856118794506</v>
      </c>
      <c r="I34">
        <f t="shared" si="35"/>
        <v>63</v>
      </c>
      <c r="J34">
        <f t="shared" si="25"/>
        <v>3969</v>
      </c>
      <c r="K34" s="25">
        <f t="shared" si="8"/>
        <v>3844</v>
      </c>
      <c r="L34" s="24">
        <f t="shared" si="36"/>
        <v>1.0325182101977106</v>
      </c>
      <c r="M34">
        <f t="shared" si="37"/>
        <v>-593</v>
      </c>
      <c r="N34" s="24">
        <f t="shared" si="10"/>
        <v>4.7325983182600062E-3</v>
      </c>
    </row>
    <row r="35" spans="1:14" x14ac:dyDescent="0.25">
      <c r="A35">
        <v>32</v>
      </c>
      <c r="B35" s="27">
        <f t="shared" si="28"/>
        <v>36.617083894802711</v>
      </c>
      <c r="C35">
        <f t="shared" si="29"/>
        <v>37</v>
      </c>
      <c r="D35">
        <f t="shared" si="30"/>
        <v>75</v>
      </c>
      <c r="E35">
        <f t="shared" si="31"/>
        <v>129</v>
      </c>
      <c r="F35">
        <f t="shared" si="32"/>
        <v>4837</v>
      </c>
      <c r="G35" s="24">
        <f t="shared" si="33"/>
        <v>4729.6534052014149</v>
      </c>
      <c r="H35" s="24">
        <f t="shared" si="34"/>
        <v>1.0226965034436839</v>
      </c>
      <c r="I35">
        <f t="shared" si="35"/>
        <v>65</v>
      </c>
      <c r="J35">
        <f t="shared" si="25"/>
        <v>4225</v>
      </c>
      <c r="K35" s="25">
        <f t="shared" si="8"/>
        <v>4096</v>
      </c>
      <c r="L35" s="24">
        <f t="shared" si="36"/>
        <v>1.031494140625</v>
      </c>
      <c r="M35">
        <f t="shared" si="37"/>
        <v>-612</v>
      </c>
      <c r="N35" s="24">
        <f t="shared" si="10"/>
        <v>8.7976371813160981E-3</v>
      </c>
    </row>
    <row r="36" spans="1:14" x14ac:dyDescent="0.25">
      <c r="A36">
        <v>33</v>
      </c>
      <c r="B36" s="27">
        <f t="shared" ref="B36:B45" si="38">(A36*SQRT(3)*2+2)/3-1</f>
        <v>37.771784433181963</v>
      </c>
      <c r="C36">
        <f t="shared" ref="C36:C45" si="39">CEILING(B36,1)</f>
        <v>38</v>
      </c>
      <c r="D36">
        <f t="shared" ref="D36:D45" si="40">2*C36+1</f>
        <v>77</v>
      </c>
      <c r="E36">
        <f t="shared" ref="E36:E45" si="41">4*A36+1</f>
        <v>133</v>
      </c>
      <c r="F36">
        <f t="shared" ref="F36:F45" si="42">((D36*E36)-1)/2</f>
        <v>5120</v>
      </c>
      <c r="G36" s="24">
        <f t="shared" ref="G36:G45" si="43">(2*A36)*(2*A36)/G$2</f>
        <v>5029.8755451800198</v>
      </c>
      <c r="H36" s="24">
        <f t="shared" ref="H36:H45" si="44">F36/G36</f>
        <v>1.0179178299761997</v>
      </c>
      <c r="I36">
        <f t="shared" ref="I36:I45" si="45">A36*2+1</f>
        <v>67</v>
      </c>
      <c r="J36">
        <f t="shared" si="25"/>
        <v>4489</v>
      </c>
      <c r="K36" s="25">
        <f t="shared" si="8"/>
        <v>4356</v>
      </c>
      <c r="L36" s="24">
        <f t="shared" ref="L36:L45" si="46">J36/K36</f>
        <v>1.0305325987144169</v>
      </c>
      <c r="M36">
        <f t="shared" ref="M36:M45" si="47">J36-F36</f>
        <v>-631</v>
      </c>
      <c r="N36" s="24">
        <f t="shared" ref="N36:N45" si="48">L36-H36</f>
        <v>1.2614768738217208E-2</v>
      </c>
    </row>
    <row r="37" spans="1:14" x14ac:dyDescent="0.25">
      <c r="A37">
        <v>34</v>
      </c>
      <c r="B37" s="27">
        <f t="shared" si="38"/>
        <v>38.926484971561216</v>
      </c>
      <c r="C37">
        <f t="shared" si="39"/>
        <v>39</v>
      </c>
      <c r="D37">
        <f t="shared" si="40"/>
        <v>79</v>
      </c>
      <c r="E37">
        <f t="shared" si="41"/>
        <v>137</v>
      </c>
      <c r="F37">
        <f t="shared" si="42"/>
        <v>5411</v>
      </c>
      <c r="G37" s="24">
        <f t="shared" si="43"/>
        <v>5339.3352894656591</v>
      </c>
      <c r="H37" s="24">
        <f t="shared" si="44"/>
        <v>1.0134220285202418</v>
      </c>
      <c r="I37">
        <f t="shared" si="45"/>
        <v>69</v>
      </c>
      <c r="J37">
        <f t="shared" si="25"/>
        <v>4761</v>
      </c>
      <c r="K37" s="25">
        <f t="shared" si="8"/>
        <v>4624</v>
      </c>
      <c r="L37" s="24">
        <f t="shared" si="46"/>
        <v>1.029628027681661</v>
      </c>
      <c r="M37">
        <f t="shared" si="47"/>
        <v>-650</v>
      </c>
      <c r="N37" s="24">
        <f t="shared" si="48"/>
        <v>1.6205999161419182E-2</v>
      </c>
    </row>
    <row r="38" spans="1:14" x14ac:dyDescent="0.25">
      <c r="A38">
        <v>35</v>
      </c>
      <c r="B38" s="27">
        <f t="shared" si="38"/>
        <v>40.081185509940468</v>
      </c>
      <c r="C38">
        <f t="shared" si="39"/>
        <v>41</v>
      </c>
      <c r="D38">
        <f t="shared" si="40"/>
        <v>83</v>
      </c>
      <c r="E38">
        <f t="shared" si="41"/>
        <v>141</v>
      </c>
      <c r="F38">
        <f t="shared" si="42"/>
        <v>5851</v>
      </c>
      <c r="G38" s="24">
        <f t="shared" si="43"/>
        <v>5658.0326380583329</v>
      </c>
      <c r="H38" s="24">
        <f t="shared" si="44"/>
        <v>1.0341050280699491</v>
      </c>
      <c r="I38">
        <f t="shared" si="45"/>
        <v>71</v>
      </c>
      <c r="J38">
        <f t="shared" si="25"/>
        <v>5041</v>
      </c>
      <c r="K38" s="25">
        <f t="shared" si="8"/>
        <v>4900</v>
      </c>
      <c r="L38" s="24">
        <f t="shared" si="46"/>
        <v>1.0287755102040816</v>
      </c>
      <c r="M38">
        <f t="shared" si="47"/>
        <v>-810</v>
      </c>
      <c r="N38" s="24">
        <f t="shared" si="48"/>
        <v>-5.3295178658674391E-3</v>
      </c>
    </row>
    <row r="39" spans="1:14" x14ac:dyDescent="0.25">
      <c r="A39">
        <v>36</v>
      </c>
      <c r="B39" s="27">
        <f t="shared" si="38"/>
        <v>41.23588604831972</v>
      </c>
      <c r="C39">
        <f t="shared" si="39"/>
        <v>42</v>
      </c>
      <c r="D39">
        <f t="shared" si="40"/>
        <v>85</v>
      </c>
      <c r="E39">
        <f t="shared" si="41"/>
        <v>145</v>
      </c>
      <c r="F39">
        <f t="shared" si="42"/>
        <v>6162</v>
      </c>
      <c r="G39" s="24">
        <f t="shared" si="43"/>
        <v>5985.9675909580401</v>
      </c>
      <c r="H39" s="24">
        <f t="shared" si="44"/>
        <v>1.0294075112113639</v>
      </c>
      <c r="I39">
        <f t="shared" si="45"/>
        <v>73</v>
      </c>
      <c r="J39">
        <f t="shared" si="25"/>
        <v>5329</v>
      </c>
      <c r="K39" s="25">
        <f t="shared" si="8"/>
        <v>5184</v>
      </c>
      <c r="L39" s="24">
        <f t="shared" si="46"/>
        <v>1.0279706790123457</v>
      </c>
      <c r="M39">
        <f t="shared" si="47"/>
        <v>-833</v>
      </c>
      <c r="N39" s="24">
        <f t="shared" si="48"/>
        <v>-1.4368321990181343E-3</v>
      </c>
    </row>
    <row r="40" spans="1:14" x14ac:dyDescent="0.25">
      <c r="A40">
        <v>37</v>
      </c>
      <c r="B40" s="27">
        <f t="shared" si="38"/>
        <v>42.390586586698966</v>
      </c>
      <c r="C40">
        <f t="shared" si="39"/>
        <v>43</v>
      </c>
      <c r="D40">
        <f t="shared" si="40"/>
        <v>87</v>
      </c>
      <c r="E40">
        <f t="shared" si="41"/>
        <v>149</v>
      </c>
      <c r="F40">
        <f t="shared" si="42"/>
        <v>6481</v>
      </c>
      <c r="G40" s="24">
        <f t="shared" si="43"/>
        <v>6323.1401481647817</v>
      </c>
      <c r="H40" s="24">
        <f t="shared" si="44"/>
        <v>1.0249654203664986</v>
      </c>
      <c r="I40">
        <f t="shared" si="45"/>
        <v>75</v>
      </c>
      <c r="J40">
        <f t="shared" si="25"/>
        <v>5625</v>
      </c>
      <c r="K40" s="25">
        <f t="shared" si="8"/>
        <v>5476</v>
      </c>
      <c r="L40" s="24">
        <f t="shared" si="46"/>
        <v>1.0272096420745069</v>
      </c>
      <c r="M40">
        <f t="shared" si="47"/>
        <v>-856</v>
      </c>
      <c r="N40" s="24">
        <f t="shared" si="48"/>
        <v>2.2442217080083093E-3</v>
      </c>
    </row>
    <row r="41" spans="1:14" x14ac:dyDescent="0.25">
      <c r="A41">
        <v>38</v>
      </c>
      <c r="B41" s="27">
        <f t="shared" si="38"/>
        <v>43.545287125078225</v>
      </c>
      <c r="C41">
        <f t="shared" si="39"/>
        <v>44</v>
      </c>
      <c r="D41">
        <f t="shared" si="40"/>
        <v>89</v>
      </c>
      <c r="E41">
        <f t="shared" si="41"/>
        <v>153</v>
      </c>
      <c r="F41">
        <f t="shared" si="42"/>
        <v>6808</v>
      </c>
      <c r="G41" s="24">
        <f t="shared" si="43"/>
        <v>6669.5503096785569</v>
      </c>
      <c r="H41" s="24">
        <f t="shared" si="44"/>
        <v>1.0207584745437082</v>
      </c>
      <c r="I41">
        <f t="shared" si="45"/>
        <v>77</v>
      </c>
      <c r="J41">
        <f t="shared" si="25"/>
        <v>5929</v>
      </c>
      <c r="K41" s="25">
        <f t="shared" si="8"/>
        <v>5776</v>
      </c>
      <c r="L41" s="24">
        <f t="shared" si="46"/>
        <v>1.0264889196675899</v>
      </c>
      <c r="M41">
        <f t="shared" si="47"/>
        <v>-879</v>
      </c>
      <c r="N41" s="24">
        <f t="shared" si="48"/>
        <v>5.7304451238817666E-3</v>
      </c>
    </row>
    <row r="42" spans="1:14" x14ac:dyDescent="0.25">
      <c r="A42">
        <v>39</v>
      </c>
      <c r="B42" s="27">
        <f t="shared" si="38"/>
        <v>44.699987663457478</v>
      </c>
      <c r="C42">
        <f t="shared" si="39"/>
        <v>45</v>
      </c>
      <c r="D42">
        <f t="shared" si="40"/>
        <v>91</v>
      </c>
      <c r="E42">
        <f t="shared" si="41"/>
        <v>157</v>
      </c>
      <c r="F42">
        <f t="shared" si="42"/>
        <v>7143</v>
      </c>
      <c r="G42" s="24">
        <f t="shared" si="43"/>
        <v>7025.1980754993665</v>
      </c>
      <c r="H42" s="24">
        <f t="shared" si="44"/>
        <v>1.0167684844234459</v>
      </c>
      <c r="I42">
        <f t="shared" si="45"/>
        <v>79</v>
      </c>
      <c r="J42">
        <f t="shared" si="25"/>
        <v>6241</v>
      </c>
      <c r="K42" s="25">
        <f t="shared" si="8"/>
        <v>6084</v>
      </c>
      <c r="L42" s="24">
        <f t="shared" si="46"/>
        <v>1.0258053911900065</v>
      </c>
      <c r="M42">
        <f t="shared" si="47"/>
        <v>-902</v>
      </c>
      <c r="N42" s="24">
        <f t="shared" si="48"/>
        <v>9.0369067665605485E-3</v>
      </c>
    </row>
    <row r="43" spans="1:14" x14ac:dyDescent="0.25">
      <c r="A43">
        <v>40</v>
      </c>
      <c r="B43" s="27">
        <f t="shared" si="38"/>
        <v>45.854688201836723</v>
      </c>
      <c r="C43">
        <f t="shared" si="39"/>
        <v>46</v>
      </c>
      <c r="D43">
        <f t="shared" si="40"/>
        <v>93</v>
      </c>
      <c r="E43">
        <f t="shared" si="41"/>
        <v>161</v>
      </c>
      <c r="F43">
        <f t="shared" si="42"/>
        <v>7486</v>
      </c>
      <c r="G43" s="24">
        <f t="shared" si="43"/>
        <v>7390.0834456272105</v>
      </c>
      <c r="H43" s="24">
        <f t="shared" si="44"/>
        <v>1.0129790894891104</v>
      </c>
      <c r="I43">
        <f t="shared" si="45"/>
        <v>81</v>
      </c>
      <c r="J43">
        <f t="shared" si="25"/>
        <v>6561</v>
      </c>
      <c r="K43" s="25">
        <f t="shared" si="8"/>
        <v>6400</v>
      </c>
      <c r="L43" s="24">
        <f t="shared" si="46"/>
        <v>1.02515625</v>
      </c>
      <c r="M43">
        <f t="shared" si="47"/>
        <v>-925</v>
      </c>
      <c r="N43" s="24">
        <f t="shared" si="48"/>
        <v>1.2177160510889573E-2</v>
      </c>
    </row>
    <row r="44" spans="1:14" x14ac:dyDescent="0.25">
      <c r="A44">
        <v>41</v>
      </c>
      <c r="B44" s="27">
        <f t="shared" si="38"/>
        <v>47.009388740215975</v>
      </c>
      <c r="C44">
        <f t="shared" si="39"/>
        <v>48</v>
      </c>
      <c r="D44">
        <f t="shared" si="40"/>
        <v>97</v>
      </c>
      <c r="E44">
        <f t="shared" si="41"/>
        <v>165</v>
      </c>
      <c r="F44">
        <f t="shared" si="42"/>
        <v>8002</v>
      </c>
      <c r="G44" s="24">
        <f t="shared" si="43"/>
        <v>7764.206420062088</v>
      </c>
      <c r="H44" s="24">
        <f t="shared" si="44"/>
        <v>1.0306269008154487</v>
      </c>
      <c r="I44">
        <f t="shared" si="45"/>
        <v>83</v>
      </c>
      <c r="J44">
        <f t="shared" si="25"/>
        <v>6889</v>
      </c>
      <c r="K44" s="25">
        <f t="shared" si="8"/>
        <v>6724</v>
      </c>
      <c r="L44" s="24">
        <f t="shared" si="46"/>
        <v>1.0245389649018442</v>
      </c>
      <c r="M44">
        <f t="shared" si="47"/>
        <v>-1113</v>
      </c>
      <c r="N44" s="24">
        <f t="shared" si="48"/>
        <v>-6.0879359136045696E-3</v>
      </c>
    </row>
    <row r="45" spans="1:14" x14ac:dyDescent="0.25">
      <c r="A45">
        <v>42</v>
      </c>
      <c r="B45" s="27">
        <f t="shared" si="38"/>
        <v>48.164089278595235</v>
      </c>
      <c r="C45">
        <f t="shared" si="39"/>
        <v>49</v>
      </c>
      <c r="D45">
        <f t="shared" si="40"/>
        <v>99</v>
      </c>
      <c r="E45">
        <f t="shared" si="41"/>
        <v>169</v>
      </c>
      <c r="F45">
        <f t="shared" si="42"/>
        <v>8365</v>
      </c>
      <c r="G45" s="24">
        <f t="shared" si="43"/>
        <v>8147.566998803999</v>
      </c>
      <c r="H45" s="24">
        <f t="shared" si="44"/>
        <v>1.0266868626214327</v>
      </c>
      <c r="I45">
        <f t="shared" si="45"/>
        <v>85</v>
      </c>
      <c r="J45">
        <f t="shared" si="25"/>
        <v>7225</v>
      </c>
      <c r="K45" s="25">
        <f t="shared" si="8"/>
        <v>7056</v>
      </c>
      <c r="L45" s="24">
        <f t="shared" si="46"/>
        <v>1.023951247165533</v>
      </c>
      <c r="M45">
        <f t="shared" si="47"/>
        <v>-1140</v>
      </c>
      <c r="N45" s="24">
        <f t="shared" si="48"/>
        <v>-2.7356154558997314E-3</v>
      </c>
    </row>
    <row r="46" spans="1:14" x14ac:dyDescent="0.25">
      <c r="A46">
        <v>43</v>
      </c>
      <c r="B46" s="27">
        <f t="shared" ref="B46:B90" si="49">(A46*SQRT(3)*2+2)/3-1</f>
        <v>49.31878981697448</v>
      </c>
      <c r="C46">
        <f t="shared" ref="C46:C90" si="50">CEILING(B46,1)</f>
        <v>50</v>
      </c>
      <c r="D46">
        <f t="shared" ref="D46:D90" si="51">2*C46+1</f>
        <v>101</v>
      </c>
      <c r="E46">
        <f t="shared" ref="E46:E90" si="52">4*A46+1</f>
        <v>173</v>
      </c>
      <c r="F46">
        <f t="shared" ref="F46:F90" si="53">((D46*E46)-1)/2</f>
        <v>8736</v>
      </c>
      <c r="G46" s="24">
        <f t="shared" ref="G46:G90" si="54">(2*A46)*(2*A46)/G$2</f>
        <v>8540.1651818529444</v>
      </c>
      <c r="H46" s="24">
        <f t="shared" ref="H46:H90" si="55">F46/G46</f>
        <v>1.022931033999575</v>
      </c>
      <c r="I46">
        <f t="shared" ref="I46:I90" si="56">A46*2+1</f>
        <v>87</v>
      </c>
      <c r="J46">
        <f t="shared" si="25"/>
        <v>7569</v>
      </c>
      <c r="K46" s="25">
        <f t="shared" si="8"/>
        <v>7396</v>
      </c>
      <c r="L46" s="24">
        <f t="shared" ref="L46:L90" si="57">J46/K46</f>
        <v>1.0233910221741482</v>
      </c>
      <c r="M46">
        <f t="shared" ref="M46:M90" si="58">J46-F46</f>
        <v>-1167</v>
      </c>
      <c r="N46" s="24">
        <f t="shared" ref="N46:N90" si="59">L46-H46</f>
        <v>4.5998817457326702E-4</v>
      </c>
    </row>
    <row r="47" spans="1:14" x14ac:dyDescent="0.25">
      <c r="A47">
        <v>44</v>
      </c>
      <c r="B47" s="27">
        <f t="shared" si="49"/>
        <v>50.473490355353732</v>
      </c>
      <c r="C47">
        <f t="shared" si="50"/>
        <v>51</v>
      </c>
      <c r="D47">
        <f t="shared" si="51"/>
        <v>103</v>
      </c>
      <c r="E47">
        <f t="shared" si="52"/>
        <v>177</v>
      </c>
      <c r="F47">
        <f t="shared" si="53"/>
        <v>9115</v>
      </c>
      <c r="G47" s="24">
        <f t="shared" si="54"/>
        <v>8942.0009692089243</v>
      </c>
      <c r="H47" s="24">
        <f t="shared" si="55"/>
        <v>1.0193467917736516</v>
      </c>
      <c r="I47">
        <f t="shared" si="56"/>
        <v>89</v>
      </c>
      <c r="J47">
        <f t="shared" si="25"/>
        <v>7921</v>
      </c>
      <c r="K47" s="25">
        <f t="shared" si="8"/>
        <v>7744</v>
      </c>
      <c r="L47" s="24">
        <f t="shared" si="57"/>
        <v>1.0228564049586777</v>
      </c>
      <c r="M47">
        <f t="shared" si="58"/>
        <v>-1194</v>
      </c>
      <c r="N47" s="24">
        <f t="shared" si="59"/>
        <v>3.5096131850260726E-3</v>
      </c>
    </row>
    <row r="48" spans="1:14" x14ac:dyDescent="0.25">
      <c r="A48">
        <v>45</v>
      </c>
      <c r="B48" s="27">
        <f t="shared" si="49"/>
        <v>51.628190893732985</v>
      </c>
      <c r="C48">
        <f t="shared" si="50"/>
        <v>52</v>
      </c>
      <c r="D48">
        <f t="shared" si="51"/>
        <v>105</v>
      </c>
      <c r="E48">
        <f t="shared" si="52"/>
        <v>181</v>
      </c>
      <c r="F48">
        <f t="shared" si="53"/>
        <v>9502</v>
      </c>
      <c r="G48" s="24">
        <f t="shared" si="54"/>
        <v>9353.0743608719386</v>
      </c>
      <c r="H48" s="24">
        <f t="shared" si="55"/>
        <v>1.015922640340708</v>
      </c>
      <c r="I48">
        <f t="shared" si="56"/>
        <v>91</v>
      </c>
      <c r="J48">
        <f t="shared" si="25"/>
        <v>8281</v>
      </c>
      <c r="K48" s="25">
        <f t="shared" si="8"/>
        <v>8100</v>
      </c>
      <c r="L48" s="24">
        <f t="shared" si="57"/>
        <v>1.0223456790123457</v>
      </c>
      <c r="M48">
        <f t="shared" si="58"/>
        <v>-1221</v>
      </c>
      <c r="N48" s="24">
        <f t="shared" si="59"/>
        <v>6.4230386716377375E-3</v>
      </c>
    </row>
    <row r="49" spans="1:14" x14ac:dyDescent="0.25">
      <c r="A49">
        <v>46</v>
      </c>
      <c r="B49" s="27">
        <f t="shared" si="49"/>
        <v>52.78289143211223</v>
      </c>
      <c r="C49">
        <f t="shared" si="50"/>
        <v>53</v>
      </c>
      <c r="D49">
        <f t="shared" si="51"/>
        <v>107</v>
      </c>
      <c r="E49">
        <f t="shared" si="52"/>
        <v>185</v>
      </c>
      <c r="F49">
        <f t="shared" si="53"/>
        <v>9897</v>
      </c>
      <c r="G49" s="24">
        <f t="shared" si="54"/>
        <v>9773.3853568419854</v>
      </c>
      <c r="H49" s="24">
        <f t="shared" si="55"/>
        <v>1.0126480885225175</v>
      </c>
      <c r="I49">
        <f t="shared" si="56"/>
        <v>93</v>
      </c>
      <c r="J49">
        <f t="shared" si="25"/>
        <v>8649</v>
      </c>
      <c r="K49" s="25">
        <f t="shared" si="8"/>
        <v>8464</v>
      </c>
      <c r="L49" s="24">
        <f t="shared" si="57"/>
        <v>1.0218572778827977</v>
      </c>
      <c r="M49">
        <f t="shared" si="58"/>
        <v>-1248</v>
      </c>
      <c r="N49" s="24">
        <f t="shared" si="59"/>
        <v>9.2091893602801456E-3</v>
      </c>
    </row>
    <row r="50" spans="1:14" x14ac:dyDescent="0.25">
      <c r="A50">
        <v>47</v>
      </c>
      <c r="B50" s="27">
        <f t="shared" si="49"/>
        <v>53.937591970491489</v>
      </c>
      <c r="C50">
        <f t="shared" si="50"/>
        <v>54</v>
      </c>
      <c r="D50">
        <f t="shared" si="51"/>
        <v>109</v>
      </c>
      <c r="E50">
        <f t="shared" si="52"/>
        <v>189</v>
      </c>
      <c r="F50">
        <f t="shared" si="53"/>
        <v>10300</v>
      </c>
      <c r="G50" s="24">
        <f t="shared" si="54"/>
        <v>10202.933957119067</v>
      </c>
      <c r="H50" s="24">
        <f t="shared" si="55"/>
        <v>1.0095135422113759</v>
      </c>
      <c r="I50">
        <f t="shared" si="56"/>
        <v>95</v>
      </c>
      <c r="J50">
        <f t="shared" si="25"/>
        <v>9025</v>
      </c>
      <c r="K50" s="25">
        <f t="shared" si="8"/>
        <v>8836</v>
      </c>
      <c r="L50" s="24">
        <f t="shared" si="57"/>
        <v>1.0213897691263014</v>
      </c>
      <c r="M50">
        <f t="shared" si="58"/>
        <v>-1275</v>
      </c>
      <c r="N50" s="24">
        <f t="shared" si="59"/>
        <v>1.1876226914925514E-2</v>
      </c>
    </row>
    <row r="51" spans="1:14" x14ac:dyDescent="0.25">
      <c r="A51">
        <v>48</v>
      </c>
      <c r="B51" s="27">
        <f t="shared" si="49"/>
        <v>55.092292508870742</v>
      </c>
      <c r="C51">
        <f t="shared" si="50"/>
        <v>56</v>
      </c>
      <c r="D51">
        <f t="shared" si="51"/>
        <v>113</v>
      </c>
      <c r="E51">
        <f t="shared" si="52"/>
        <v>193</v>
      </c>
      <c r="F51">
        <f t="shared" si="53"/>
        <v>10904</v>
      </c>
      <c r="G51" s="24">
        <f t="shared" si="54"/>
        <v>10641.720161703182</v>
      </c>
      <c r="H51" s="24">
        <f t="shared" si="55"/>
        <v>1.0246463761789841</v>
      </c>
      <c r="I51">
        <f t="shared" si="56"/>
        <v>97</v>
      </c>
      <c r="J51">
        <f t="shared" si="25"/>
        <v>9409</v>
      </c>
      <c r="K51" s="25">
        <f t="shared" si="8"/>
        <v>9216</v>
      </c>
      <c r="L51" s="24">
        <f t="shared" si="57"/>
        <v>1.0209418402777777</v>
      </c>
      <c r="M51">
        <f t="shared" si="58"/>
        <v>-1495</v>
      </c>
      <c r="N51" s="24">
        <f t="shared" si="59"/>
        <v>-3.7045359012064516E-3</v>
      </c>
    </row>
    <row r="52" spans="1:14" x14ac:dyDescent="0.25">
      <c r="A52">
        <v>49</v>
      </c>
      <c r="B52" s="27">
        <f t="shared" si="49"/>
        <v>56.246993047249987</v>
      </c>
      <c r="C52">
        <f t="shared" si="50"/>
        <v>57</v>
      </c>
      <c r="D52">
        <f t="shared" si="51"/>
        <v>115</v>
      </c>
      <c r="E52">
        <f t="shared" si="52"/>
        <v>197</v>
      </c>
      <c r="F52">
        <f t="shared" si="53"/>
        <v>11327</v>
      </c>
      <c r="G52" s="24">
        <f t="shared" si="54"/>
        <v>11089.743970594332</v>
      </c>
      <c r="H52" s="24">
        <f t="shared" si="55"/>
        <v>1.0213941845758367</v>
      </c>
      <c r="I52">
        <f t="shared" si="56"/>
        <v>99</v>
      </c>
      <c r="J52">
        <f t="shared" si="25"/>
        <v>9801</v>
      </c>
      <c r="K52" s="25">
        <f t="shared" si="8"/>
        <v>9604</v>
      </c>
      <c r="L52" s="24">
        <f t="shared" si="57"/>
        <v>1.020512286547272</v>
      </c>
      <c r="M52">
        <f t="shared" si="58"/>
        <v>-1526</v>
      </c>
      <c r="N52" s="24">
        <f t="shared" si="59"/>
        <v>-8.8189802856475374E-4</v>
      </c>
    </row>
    <row r="53" spans="1:14" x14ac:dyDescent="0.25">
      <c r="A53">
        <v>50</v>
      </c>
      <c r="B53" s="27">
        <f t="shared" si="49"/>
        <v>57.401693585629239</v>
      </c>
      <c r="C53">
        <f t="shared" si="50"/>
        <v>58</v>
      </c>
      <c r="D53">
        <f t="shared" si="51"/>
        <v>117</v>
      </c>
      <c r="E53">
        <f t="shared" si="52"/>
        <v>201</v>
      </c>
      <c r="F53">
        <f t="shared" si="53"/>
        <v>11758</v>
      </c>
      <c r="G53" s="24">
        <f t="shared" si="54"/>
        <v>11547.005383792515</v>
      </c>
      <c r="H53" s="24">
        <f t="shared" si="55"/>
        <v>1.0182726697697431</v>
      </c>
      <c r="I53">
        <f t="shared" si="56"/>
        <v>101</v>
      </c>
      <c r="J53">
        <f t="shared" si="25"/>
        <v>10201</v>
      </c>
      <c r="K53" s="25">
        <f t="shared" si="8"/>
        <v>10000</v>
      </c>
      <c r="L53" s="24">
        <f t="shared" si="57"/>
        <v>1.0201</v>
      </c>
      <c r="M53">
        <f t="shared" si="58"/>
        <v>-1557</v>
      </c>
      <c r="N53" s="24">
        <f t="shared" si="59"/>
        <v>1.8273302302569405E-3</v>
      </c>
    </row>
    <row r="54" spans="1:14" x14ac:dyDescent="0.25">
      <c r="A54">
        <v>51</v>
      </c>
      <c r="B54" s="27">
        <f t="shared" si="49"/>
        <v>58.556394124008484</v>
      </c>
      <c r="C54">
        <f t="shared" si="50"/>
        <v>59</v>
      </c>
      <c r="D54">
        <f t="shared" si="51"/>
        <v>119</v>
      </c>
      <c r="E54">
        <f t="shared" si="52"/>
        <v>205</v>
      </c>
      <c r="F54">
        <f t="shared" si="53"/>
        <v>12197</v>
      </c>
      <c r="G54" s="24">
        <f t="shared" si="54"/>
        <v>12013.504401297734</v>
      </c>
      <c r="H54" s="24">
        <f t="shared" si="55"/>
        <v>1.015274110914917</v>
      </c>
      <c r="I54">
        <f t="shared" si="56"/>
        <v>103</v>
      </c>
      <c r="J54">
        <f t="shared" si="25"/>
        <v>10609</v>
      </c>
      <c r="K54" s="25">
        <f t="shared" si="8"/>
        <v>10404</v>
      </c>
      <c r="L54" s="24">
        <f t="shared" si="57"/>
        <v>1.0197039600153788</v>
      </c>
      <c r="M54">
        <f t="shared" si="58"/>
        <v>-1588</v>
      </c>
      <c r="N54" s="24">
        <f t="shared" si="59"/>
        <v>4.4298491004617357E-3</v>
      </c>
    </row>
    <row r="55" spans="1:14" x14ac:dyDescent="0.25">
      <c r="A55">
        <v>52</v>
      </c>
      <c r="B55" s="27">
        <f t="shared" si="49"/>
        <v>59.711094662387744</v>
      </c>
      <c r="C55">
        <f t="shared" si="50"/>
        <v>60</v>
      </c>
      <c r="D55">
        <f t="shared" si="51"/>
        <v>121</v>
      </c>
      <c r="E55">
        <f t="shared" si="52"/>
        <v>209</v>
      </c>
      <c r="F55">
        <f t="shared" si="53"/>
        <v>12644</v>
      </c>
      <c r="G55" s="24">
        <f t="shared" si="54"/>
        <v>12489.241023109986</v>
      </c>
      <c r="H55" s="24">
        <f t="shared" si="55"/>
        <v>1.0123913836400187</v>
      </c>
      <c r="I55">
        <f t="shared" si="56"/>
        <v>105</v>
      </c>
      <c r="J55">
        <f t="shared" si="25"/>
        <v>11025</v>
      </c>
      <c r="K55" s="25">
        <f t="shared" si="8"/>
        <v>10816</v>
      </c>
      <c r="L55" s="24">
        <f t="shared" si="57"/>
        <v>1.0193232248520709</v>
      </c>
      <c r="M55">
        <f t="shared" si="58"/>
        <v>-1619</v>
      </c>
      <c r="N55" s="24">
        <f t="shared" si="59"/>
        <v>6.9318412120522588E-3</v>
      </c>
    </row>
    <row r="56" spans="1:14" x14ac:dyDescent="0.25">
      <c r="A56">
        <v>53</v>
      </c>
      <c r="B56" s="27">
        <f t="shared" si="49"/>
        <v>60.865795200766996</v>
      </c>
      <c r="C56">
        <f t="shared" si="50"/>
        <v>61</v>
      </c>
      <c r="D56">
        <f t="shared" si="51"/>
        <v>123</v>
      </c>
      <c r="E56">
        <f t="shared" si="52"/>
        <v>213</v>
      </c>
      <c r="F56">
        <f t="shared" si="53"/>
        <v>13099</v>
      </c>
      <c r="G56" s="24">
        <f t="shared" si="54"/>
        <v>12974.215249229272</v>
      </c>
      <c r="H56" s="24">
        <f t="shared" si="55"/>
        <v>1.0096179035397259</v>
      </c>
      <c r="I56">
        <f t="shared" si="56"/>
        <v>107</v>
      </c>
      <c r="J56">
        <f t="shared" si="25"/>
        <v>11449</v>
      </c>
      <c r="K56" s="25">
        <f t="shared" si="8"/>
        <v>11236</v>
      </c>
      <c r="L56" s="24">
        <f t="shared" si="57"/>
        <v>1.0189569241723033</v>
      </c>
      <c r="M56">
        <f t="shared" si="58"/>
        <v>-1650</v>
      </c>
      <c r="N56" s="24">
        <f t="shared" si="59"/>
        <v>9.3390206325774106E-3</v>
      </c>
    </row>
    <row r="57" spans="1:14" x14ac:dyDescent="0.25">
      <c r="A57">
        <v>54</v>
      </c>
      <c r="B57" s="27">
        <f t="shared" si="49"/>
        <v>62.020495739146241</v>
      </c>
      <c r="C57">
        <f t="shared" si="50"/>
        <v>63</v>
      </c>
      <c r="D57">
        <f t="shared" si="51"/>
        <v>127</v>
      </c>
      <c r="E57">
        <f t="shared" si="52"/>
        <v>217</v>
      </c>
      <c r="F57">
        <f t="shared" si="53"/>
        <v>13779</v>
      </c>
      <c r="G57" s="24">
        <f t="shared" si="54"/>
        <v>13468.42707965559</v>
      </c>
      <c r="H57" s="24">
        <f t="shared" si="55"/>
        <v>1.023059331168191</v>
      </c>
      <c r="I57">
        <f t="shared" si="56"/>
        <v>109</v>
      </c>
      <c r="J57">
        <f t="shared" si="25"/>
        <v>11881</v>
      </c>
      <c r="K57" s="25">
        <f t="shared" si="8"/>
        <v>11664</v>
      </c>
      <c r="L57" s="24">
        <f t="shared" si="57"/>
        <v>1.0186042524005487</v>
      </c>
      <c r="M57">
        <f t="shared" si="58"/>
        <v>-1898</v>
      </c>
      <c r="N57" s="24">
        <f t="shared" si="59"/>
        <v>-4.4550787676422843E-3</v>
      </c>
    </row>
    <row r="58" spans="1:14" x14ac:dyDescent="0.25">
      <c r="A58">
        <v>55</v>
      </c>
      <c r="B58" s="27">
        <f t="shared" si="49"/>
        <v>63.175196277525501</v>
      </c>
      <c r="C58">
        <f t="shared" si="50"/>
        <v>64</v>
      </c>
      <c r="D58">
        <f t="shared" si="51"/>
        <v>129</v>
      </c>
      <c r="E58">
        <f t="shared" si="52"/>
        <v>221</v>
      </c>
      <c r="F58">
        <f t="shared" si="53"/>
        <v>14254</v>
      </c>
      <c r="G58" s="24">
        <f t="shared" si="54"/>
        <v>13971.876514388945</v>
      </c>
      <c r="H58" s="24">
        <f t="shared" si="55"/>
        <v>1.0201922401275527</v>
      </c>
      <c r="I58">
        <f t="shared" si="56"/>
        <v>111</v>
      </c>
      <c r="J58">
        <f t="shared" si="25"/>
        <v>12321</v>
      </c>
      <c r="K58" s="25">
        <f t="shared" si="8"/>
        <v>12100</v>
      </c>
      <c r="L58" s="24">
        <f t="shared" si="57"/>
        <v>1.0182644628099173</v>
      </c>
      <c r="M58">
        <f t="shared" si="58"/>
        <v>-1933</v>
      </c>
      <c r="N58" s="24">
        <f t="shared" si="59"/>
        <v>-1.9277773176353818E-3</v>
      </c>
    </row>
    <row r="59" spans="1:14" x14ac:dyDescent="0.25">
      <c r="A59">
        <v>56</v>
      </c>
      <c r="B59" s="27">
        <f t="shared" si="49"/>
        <v>64.329896815904746</v>
      </c>
      <c r="C59">
        <f t="shared" si="50"/>
        <v>65</v>
      </c>
      <c r="D59">
        <f t="shared" si="51"/>
        <v>131</v>
      </c>
      <c r="E59">
        <f t="shared" si="52"/>
        <v>225</v>
      </c>
      <c r="F59">
        <f t="shared" si="53"/>
        <v>14737</v>
      </c>
      <c r="G59" s="24">
        <f t="shared" si="54"/>
        <v>14484.563553429332</v>
      </c>
      <c r="H59" s="24">
        <f t="shared" si="55"/>
        <v>1.0174279636137813</v>
      </c>
      <c r="I59">
        <f t="shared" si="56"/>
        <v>113</v>
      </c>
      <c r="J59">
        <f t="shared" si="25"/>
        <v>12769</v>
      </c>
      <c r="K59" s="25">
        <f t="shared" si="8"/>
        <v>12544</v>
      </c>
      <c r="L59" s="24">
        <f t="shared" si="57"/>
        <v>1.0179368622448979</v>
      </c>
      <c r="M59">
        <f t="shared" si="58"/>
        <v>-1968</v>
      </c>
      <c r="N59" s="24">
        <f t="shared" si="59"/>
        <v>5.0889863111658329E-4</v>
      </c>
    </row>
    <row r="60" spans="1:14" x14ac:dyDescent="0.25">
      <c r="A60">
        <v>57</v>
      </c>
      <c r="B60" s="27">
        <f t="shared" si="49"/>
        <v>65.484597354283991</v>
      </c>
      <c r="C60">
        <f t="shared" si="50"/>
        <v>66</v>
      </c>
      <c r="D60">
        <f t="shared" si="51"/>
        <v>133</v>
      </c>
      <c r="E60">
        <f t="shared" si="52"/>
        <v>229</v>
      </c>
      <c r="F60">
        <f t="shared" si="53"/>
        <v>15228</v>
      </c>
      <c r="G60" s="24">
        <f t="shared" si="54"/>
        <v>15006.488196776754</v>
      </c>
      <c r="H60" s="24">
        <f t="shared" si="55"/>
        <v>1.0147610687003255</v>
      </c>
      <c r="I60">
        <f t="shared" si="56"/>
        <v>115</v>
      </c>
      <c r="J60">
        <f t="shared" si="25"/>
        <v>13225</v>
      </c>
      <c r="K60" s="25">
        <f t="shared" si="8"/>
        <v>12996</v>
      </c>
      <c r="L60" s="24">
        <f t="shared" si="57"/>
        <v>1.0176208064019698</v>
      </c>
      <c r="M60">
        <f t="shared" si="58"/>
        <v>-2003</v>
      </c>
      <c r="N60" s="24">
        <f t="shared" si="59"/>
        <v>2.8597377016443826E-3</v>
      </c>
    </row>
    <row r="61" spans="1:14" x14ac:dyDescent="0.25">
      <c r="A61">
        <v>58</v>
      </c>
      <c r="B61" s="27">
        <f t="shared" si="49"/>
        <v>66.639297892663251</v>
      </c>
      <c r="C61">
        <f t="shared" si="50"/>
        <v>67</v>
      </c>
      <c r="D61">
        <f t="shared" si="51"/>
        <v>135</v>
      </c>
      <c r="E61">
        <f t="shared" si="52"/>
        <v>233</v>
      </c>
      <c r="F61">
        <f t="shared" si="53"/>
        <v>15727</v>
      </c>
      <c r="G61" s="24">
        <f t="shared" si="54"/>
        <v>15537.650444431209</v>
      </c>
      <c r="H61" s="24">
        <f t="shared" si="55"/>
        <v>1.0121864986116131</v>
      </c>
      <c r="I61">
        <f t="shared" si="56"/>
        <v>117</v>
      </c>
      <c r="J61">
        <f t="shared" si="25"/>
        <v>13689</v>
      </c>
      <c r="K61" s="25">
        <f t="shared" si="8"/>
        <v>13456</v>
      </c>
      <c r="L61" s="24">
        <f t="shared" si="57"/>
        <v>1.0173156956004756</v>
      </c>
      <c r="M61">
        <f t="shared" si="58"/>
        <v>-2038</v>
      </c>
      <c r="N61" s="24">
        <f t="shared" si="59"/>
        <v>5.1291969888624944E-3</v>
      </c>
    </row>
    <row r="62" spans="1:14" x14ac:dyDescent="0.25">
      <c r="A62">
        <v>59</v>
      </c>
      <c r="B62" s="27">
        <f t="shared" si="49"/>
        <v>67.79399843104251</v>
      </c>
      <c r="C62">
        <f t="shared" si="50"/>
        <v>68</v>
      </c>
      <c r="D62">
        <f t="shared" si="51"/>
        <v>137</v>
      </c>
      <c r="E62">
        <f t="shared" si="52"/>
        <v>237</v>
      </c>
      <c r="F62">
        <f t="shared" si="53"/>
        <v>16234</v>
      </c>
      <c r="G62" s="24">
        <f t="shared" si="54"/>
        <v>16078.050296392699</v>
      </c>
      <c r="H62" s="24">
        <f t="shared" si="55"/>
        <v>1.009699540723684</v>
      </c>
      <c r="I62">
        <f t="shared" si="56"/>
        <v>119</v>
      </c>
      <c r="J62">
        <f t="shared" si="25"/>
        <v>14161</v>
      </c>
      <c r="K62" s="25">
        <f t="shared" si="8"/>
        <v>13924</v>
      </c>
      <c r="L62" s="24">
        <f t="shared" si="57"/>
        <v>1.017020970985349</v>
      </c>
      <c r="M62">
        <f t="shared" si="58"/>
        <v>-2073</v>
      </c>
      <c r="N62" s="24">
        <f t="shared" si="59"/>
        <v>7.3214302616650961E-3</v>
      </c>
    </row>
    <row r="63" spans="1:14" x14ac:dyDescent="0.25">
      <c r="A63">
        <v>60</v>
      </c>
      <c r="B63" s="27">
        <f t="shared" si="49"/>
        <v>68.948698969421756</v>
      </c>
      <c r="C63">
        <f t="shared" si="50"/>
        <v>69</v>
      </c>
      <c r="D63">
        <f t="shared" si="51"/>
        <v>139</v>
      </c>
      <c r="E63">
        <f t="shared" si="52"/>
        <v>241</v>
      </c>
      <c r="F63">
        <f t="shared" si="53"/>
        <v>16749</v>
      </c>
      <c r="G63" s="24">
        <f t="shared" si="54"/>
        <v>16627.687752661222</v>
      </c>
      <c r="H63" s="24">
        <f t="shared" si="55"/>
        <v>1.0072957977767751</v>
      </c>
      <c r="I63">
        <f t="shared" si="56"/>
        <v>121</v>
      </c>
      <c r="J63">
        <f t="shared" si="25"/>
        <v>14641</v>
      </c>
      <c r="K63" s="25">
        <f t="shared" si="8"/>
        <v>14400</v>
      </c>
      <c r="L63" s="24">
        <f t="shared" si="57"/>
        <v>1.0167361111111111</v>
      </c>
      <c r="M63">
        <f t="shared" si="58"/>
        <v>-2108</v>
      </c>
      <c r="N63" s="24">
        <f t="shared" si="59"/>
        <v>9.4403133343359258E-3</v>
      </c>
    </row>
    <row r="64" spans="1:14" x14ac:dyDescent="0.25">
      <c r="A64">
        <v>61</v>
      </c>
      <c r="B64" s="27">
        <f t="shared" si="49"/>
        <v>70.103399507801001</v>
      </c>
      <c r="C64">
        <f t="shared" si="50"/>
        <v>71</v>
      </c>
      <c r="D64">
        <f t="shared" si="51"/>
        <v>143</v>
      </c>
      <c r="E64">
        <f t="shared" si="52"/>
        <v>245</v>
      </c>
      <c r="F64">
        <f t="shared" si="53"/>
        <v>17517</v>
      </c>
      <c r="G64" s="24">
        <f t="shared" si="54"/>
        <v>17186.562813236782</v>
      </c>
      <c r="H64" s="24">
        <f t="shared" si="55"/>
        <v>1.019226484687719</v>
      </c>
      <c r="I64">
        <f t="shared" si="56"/>
        <v>123</v>
      </c>
      <c r="J64">
        <f t="shared" si="25"/>
        <v>15129</v>
      </c>
      <c r="K64" s="25">
        <f t="shared" si="8"/>
        <v>14884</v>
      </c>
      <c r="L64" s="24">
        <f t="shared" si="57"/>
        <v>1.0164606288632088</v>
      </c>
      <c r="M64">
        <f t="shared" si="58"/>
        <v>-2388</v>
      </c>
      <c r="N64" s="24">
        <f t="shared" si="59"/>
        <v>-2.7658558245102771E-3</v>
      </c>
    </row>
    <row r="65" spans="1:14" x14ac:dyDescent="0.25">
      <c r="A65">
        <v>62</v>
      </c>
      <c r="B65" s="27">
        <f t="shared" si="49"/>
        <v>71.25810004618026</v>
      </c>
      <c r="C65">
        <f t="shared" si="50"/>
        <v>72</v>
      </c>
      <c r="D65">
        <f t="shared" si="51"/>
        <v>145</v>
      </c>
      <c r="E65">
        <f t="shared" si="52"/>
        <v>249</v>
      </c>
      <c r="F65">
        <f t="shared" si="53"/>
        <v>18052</v>
      </c>
      <c r="G65" s="24">
        <f t="shared" si="54"/>
        <v>17754.675478119374</v>
      </c>
      <c r="H65" s="24">
        <f t="shared" si="55"/>
        <v>1.0167462662016573</v>
      </c>
      <c r="I65">
        <f t="shared" si="56"/>
        <v>125</v>
      </c>
      <c r="J65">
        <f t="shared" si="25"/>
        <v>15625</v>
      </c>
      <c r="K65" s="25">
        <f t="shared" si="8"/>
        <v>15376</v>
      </c>
      <c r="L65" s="24">
        <f t="shared" si="57"/>
        <v>1.0161940686784598</v>
      </c>
      <c r="M65">
        <f t="shared" si="58"/>
        <v>-2427</v>
      </c>
      <c r="N65" s="24">
        <f t="shared" si="59"/>
        <v>-5.5219752319746185E-4</v>
      </c>
    </row>
    <row r="66" spans="1:14" x14ac:dyDescent="0.25">
      <c r="A66">
        <v>63</v>
      </c>
      <c r="B66" s="27">
        <f t="shared" si="49"/>
        <v>72.412800584559506</v>
      </c>
      <c r="C66">
        <f t="shared" si="50"/>
        <v>73</v>
      </c>
      <c r="D66">
        <f t="shared" si="51"/>
        <v>147</v>
      </c>
      <c r="E66">
        <f t="shared" si="52"/>
        <v>253</v>
      </c>
      <c r="F66">
        <f t="shared" si="53"/>
        <v>18595</v>
      </c>
      <c r="G66" s="24">
        <f t="shared" si="54"/>
        <v>18332.025747308999</v>
      </c>
      <c r="H66" s="24">
        <f t="shared" si="55"/>
        <v>1.0143450732786365</v>
      </c>
      <c r="I66">
        <f t="shared" si="56"/>
        <v>127</v>
      </c>
      <c r="J66">
        <f t="shared" si="25"/>
        <v>16129</v>
      </c>
      <c r="K66" s="25">
        <f t="shared" si="8"/>
        <v>15876</v>
      </c>
      <c r="L66" s="24">
        <f t="shared" si="57"/>
        <v>1.0159360040312422</v>
      </c>
      <c r="M66">
        <f t="shared" si="58"/>
        <v>-2466</v>
      </c>
      <c r="N66" s="24">
        <f t="shared" si="59"/>
        <v>1.5909307526056349E-3</v>
      </c>
    </row>
    <row r="67" spans="1:14" x14ac:dyDescent="0.25">
      <c r="A67">
        <v>64</v>
      </c>
      <c r="B67" s="27">
        <f t="shared" si="49"/>
        <v>73.567501122938765</v>
      </c>
      <c r="C67">
        <f t="shared" si="50"/>
        <v>74</v>
      </c>
      <c r="D67">
        <f t="shared" si="51"/>
        <v>149</v>
      </c>
      <c r="E67">
        <f t="shared" si="52"/>
        <v>257</v>
      </c>
      <c r="F67">
        <f t="shared" si="53"/>
        <v>19146</v>
      </c>
      <c r="G67" s="24">
        <f t="shared" si="54"/>
        <v>18918.61362080566</v>
      </c>
      <c r="H67" s="24">
        <f t="shared" si="55"/>
        <v>1.0120191882847205</v>
      </c>
      <c r="I67">
        <f t="shared" si="56"/>
        <v>129</v>
      </c>
      <c r="J67">
        <f t="shared" si="25"/>
        <v>16641</v>
      </c>
      <c r="K67" s="25">
        <f t="shared" si="8"/>
        <v>16384</v>
      </c>
      <c r="L67" s="24">
        <f t="shared" si="57"/>
        <v>1.01568603515625</v>
      </c>
      <c r="M67">
        <f t="shared" si="58"/>
        <v>-2505</v>
      </c>
      <c r="N67" s="24">
        <f t="shared" si="59"/>
        <v>3.6668468715295166E-3</v>
      </c>
    </row>
    <row r="68" spans="1:14" x14ac:dyDescent="0.25">
      <c r="A68">
        <v>65</v>
      </c>
      <c r="B68" s="27">
        <f t="shared" si="49"/>
        <v>74.72220166131801</v>
      </c>
      <c r="C68">
        <f t="shared" si="50"/>
        <v>75</v>
      </c>
      <c r="D68">
        <f t="shared" si="51"/>
        <v>151</v>
      </c>
      <c r="E68">
        <f t="shared" si="52"/>
        <v>261</v>
      </c>
      <c r="F68">
        <f t="shared" si="53"/>
        <v>19705</v>
      </c>
      <c r="G68" s="24">
        <f t="shared" si="54"/>
        <v>19514.439098609353</v>
      </c>
      <c r="H68" s="24">
        <f t="shared" si="55"/>
        <v>1.0097651231699623</v>
      </c>
      <c r="I68">
        <f t="shared" si="56"/>
        <v>131</v>
      </c>
      <c r="J68">
        <f t="shared" si="25"/>
        <v>17161</v>
      </c>
      <c r="K68" s="25">
        <f t="shared" si="8"/>
        <v>16900</v>
      </c>
      <c r="L68" s="24">
        <f t="shared" si="57"/>
        <v>1.0154437869822486</v>
      </c>
      <c r="M68">
        <f t="shared" si="58"/>
        <v>-2544</v>
      </c>
      <c r="N68" s="24">
        <f t="shared" si="59"/>
        <v>5.678663812286322E-3</v>
      </c>
    </row>
    <row r="69" spans="1:14" x14ac:dyDescent="0.25">
      <c r="A69">
        <v>66</v>
      </c>
      <c r="B69" s="27">
        <f t="shared" si="49"/>
        <v>75.876902199697255</v>
      </c>
      <c r="C69">
        <f t="shared" si="50"/>
        <v>76</v>
      </c>
      <c r="D69">
        <f t="shared" si="51"/>
        <v>153</v>
      </c>
      <c r="E69">
        <f t="shared" si="52"/>
        <v>265</v>
      </c>
      <c r="F69">
        <f t="shared" si="53"/>
        <v>20272</v>
      </c>
      <c r="G69" s="24">
        <f t="shared" si="54"/>
        <v>20119.502180720079</v>
      </c>
      <c r="H69" s="24">
        <f t="shared" si="55"/>
        <v>1.0075796020155039</v>
      </c>
      <c r="I69">
        <f t="shared" si="56"/>
        <v>133</v>
      </c>
      <c r="J69">
        <f t="shared" si="25"/>
        <v>17689</v>
      </c>
      <c r="K69" s="25">
        <f t="shared" ref="K69:K132" si="60">(2*$A69)*(2*$A69)/K$2</f>
        <v>17424</v>
      </c>
      <c r="L69" s="24">
        <f t="shared" si="57"/>
        <v>1.0152089072543617</v>
      </c>
      <c r="M69">
        <f t="shared" si="58"/>
        <v>-2583</v>
      </c>
      <c r="N69" s="24">
        <f t="shared" si="59"/>
        <v>7.6293052388578531E-3</v>
      </c>
    </row>
    <row r="70" spans="1:14" x14ac:dyDescent="0.25">
      <c r="A70">
        <v>67</v>
      </c>
      <c r="B70" s="27">
        <f t="shared" si="49"/>
        <v>77.031602738076515</v>
      </c>
      <c r="C70">
        <f t="shared" si="50"/>
        <v>78</v>
      </c>
      <c r="D70">
        <f t="shared" si="51"/>
        <v>157</v>
      </c>
      <c r="E70">
        <f t="shared" si="52"/>
        <v>269</v>
      </c>
      <c r="F70">
        <f t="shared" si="53"/>
        <v>21116</v>
      </c>
      <c r="G70" s="24">
        <f t="shared" si="54"/>
        <v>20733.802867137842</v>
      </c>
      <c r="H70" s="24">
        <f t="shared" si="55"/>
        <v>1.0184335278632326</v>
      </c>
      <c r="I70">
        <f t="shared" si="56"/>
        <v>135</v>
      </c>
      <c r="J70">
        <f t="shared" si="25"/>
        <v>18225</v>
      </c>
      <c r="K70" s="25">
        <f t="shared" si="60"/>
        <v>17956</v>
      </c>
      <c r="L70" s="24">
        <f t="shared" si="57"/>
        <v>1.0149810648251281</v>
      </c>
      <c r="M70">
        <f t="shared" si="58"/>
        <v>-2891</v>
      </c>
      <c r="N70" s="24">
        <f t="shared" si="59"/>
        <v>-3.4524630381045363E-3</v>
      </c>
    </row>
    <row r="71" spans="1:14" x14ac:dyDescent="0.25">
      <c r="A71">
        <v>68</v>
      </c>
      <c r="B71" s="27">
        <f t="shared" si="49"/>
        <v>78.186303276455774</v>
      </c>
      <c r="C71">
        <f t="shared" si="50"/>
        <v>79</v>
      </c>
      <c r="D71">
        <f t="shared" si="51"/>
        <v>159</v>
      </c>
      <c r="E71">
        <f t="shared" si="52"/>
        <v>273</v>
      </c>
      <c r="F71">
        <f t="shared" si="53"/>
        <v>21703</v>
      </c>
      <c r="G71" s="24">
        <f t="shared" si="54"/>
        <v>21357.341157862636</v>
      </c>
      <c r="H71" s="24">
        <f t="shared" si="55"/>
        <v>1.0161845446763447</v>
      </c>
      <c r="I71">
        <f t="shared" si="56"/>
        <v>137</v>
      </c>
      <c r="J71">
        <f t="shared" si="25"/>
        <v>18769</v>
      </c>
      <c r="K71" s="25">
        <f t="shared" si="60"/>
        <v>18496</v>
      </c>
      <c r="L71" s="24">
        <f t="shared" si="57"/>
        <v>1.0147599480968859</v>
      </c>
      <c r="M71">
        <f t="shared" si="58"/>
        <v>-2934</v>
      </c>
      <c r="N71" s="24">
        <f t="shared" si="59"/>
        <v>-1.4245965794588145E-3</v>
      </c>
    </row>
    <row r="72" spans="1:14" x14ac:dyDescent="0.25">
      <c r="A72">
        <v>69</v>
      </c>
      <c r="B72" s="27">
        <f t="shared" si="49"/>
        <v>79.34100381483502</v>
      </c>
      <c r="C72">
        <f t="shared" si="50"/>
        <v>80</v>
      </c>
      <c r="D72">
        <f t="shared" si="51"/>
        <v>161</v>
      </c>
      <c r="E72">
        <f t="shared" si="52"/>
        <v>277</v>
      </c>
      <c r="F72">
        <f t="shared" si="53"/>
        <v>22298</v>
      </c>
      <c r="G72" s="24">
        <f t="shared" si="54"/>
        <v>21990.117052894468</v>
      </c>
      <c r="H72" s="24">
        <f t="shared" si="55"/>
        <v>1.0140009689973437</v>
      </c>
      <c r="I72">
        <f t="shared" si="56"/>
        <v>139</v>
      </c>
      <c r="J72">
        <f t="shared" si="25"/>
        <v>19321</v>
      </c>
      <c r="K72" s="25">
        <f t="shared" si="60"/>
        <v>19044</v>
      </c>
      <c r="L72" s="24">
        <f t="shared" si="57"/>
        <v>1.014545263600084</v>
      </c>
      <c r="M72">
        <f t="shared" si="58"/>
        <v>-2977</v>
      </c>
      <c r="N72" s="24">
        <f t="shared" si="59"/>
        <v>5.4429460274030284E-4</v>
      </c>
    </row>
    <row r="73" spans="1:14" x14ac:dyDescent="0.25">
      <c r="A73">
        <v>70</v>
      </c>
      <c r="B73" s="27">
        <f t="shared" si="49"/>
        <v>80.495704353214265</v>
      </c>
      <c r="C73">
        <f t="shared" si="50"/>
        <v>81</v>
      </c>
      <c r="D73">
        <f t="shared" si="51"/>
        <v>163</v>
      </c>
      <c r="E73">
        <f t="shared" si="52"/>
        <v>281</v>
      </c>
      <c r="F73">
        <f t="shared" si="53"/>
        <v>22901</v>
      </c>
      <c r="G73" s="24">
        <f t="shared" si="54"/>
        <v>22632.130552233331</v>
      </c>
      <c r="H73" s="24">
        <f t="shared" si="55"/>
        <v>1.0118799883707872</v>
      </c>
      <c r="I73">
        <f t="shared" si="56"/>
        <v>141</v>
      </c>
      <c r="J73">
        <f t="shared" si="25"/>
        <v>19881</v>
      </c>
      <c r="K73" s="25">
        <f t="shared" si="60"/>
        <v>19600</v>
      </c>
      <c r="L73" s="24">
        <f t="shared" si="57"/>
        <v>1.0143367346938776</v>
      </c>
      <c r="M73">
        <f t="shared" si="58"/>
        <v>-3020</v>
      </c>
      <c r="N73" s="24">
        <f t="shared" si="59"/>
        <v>2.4567463230904529E-3</v>
      </c>
    </row>
    <row r="74" spans="1:14" x14ac:dyDescent="0.25">
      <c r="A74">
        <v>71</v>
      </c>
      <c r="B74" s="27">
        <f t="shared" si="49"/>
        <v>81.650404891593524</v>
      </c>
      <c r="C74">
        <f t="shared" si="50"/>
        <v>82</v>
      </c>
      <c r="D74">
        <f t="shared" si="51"/>
        <v>165</v>
      </c>
      <c r="E74">
        <f t="shared" si="52"/>
        <v>285</v>
      </c>
      <c r="F74">
        <f t="shared" si="53"/>
        <v>23512</v>
      </c>
      <c r="G74" s="24">
        <f t="shared" si="54"/>
        <v>23283.381655879228</v>
      </c>
      <c r="H74" s="24">
        <f t="shared" si="55"/>
        <v>1.0098189493046876</v>
      </c>
      <c r="I74">
        <f t="shared" si="56"/>
        <v>143</v>
      </c>
      <c r="J74">
        <f t="shared" si="25"/>
        <v>20449</v>
      </c>
      <c r="K74" s="25">
        <f t="shared" si="60"/>
        <v>20164</v>
      </c>
      <c r="L74" s="24">
        <f t="shared" si="57"/>
        <v>1.0141341003769093</v>
      </c>
      <c r="M74">
        <f t="shared" si="58"/>
        <v>-3063</v>
      </c>
      <c r="N74" s="24">
        <f t="shared" si="59"/>
        <v>4.3151510722216901E-3</v>
      </c>
    </row>
    <row r="75" spans="1:14" x14ac:dyDescent="0.25">
      <c r="A75">
        <v>72</v>
      </c>
      <c r="B75" s="27">
        <f t="shared" si="49"/>
        <v>82.80510542997277</v>
      </c>
      <c r="C75">
        <f t="shared" si="50"/>
        <v>83</v>
      </c>
      <c r="D75">
        <f t="shared" si="51"/>
        <v>167</v>
      </c>
      <c r="E75">
        <f t="shared" si="52"/>
        <v>289</v>
      </c>
      <c r="F75">
        <f t="shared" si="53"/>
        <v>24131</v>
      </c>
      <c r="G75" s="24">
        <f t="shared" si="54"/>
        <v>23943.87036383216</v>
      </c>
      <c r="H75" s="24">
        <f t="shared" si="55"/>
        <v>1.0078153461960979</v>
      </c>
      <c r="I75">
        <f t="shared" si="56"/>
        <v>145</v>
      </c>
      <c r="J75">
        <f t="shared" si="25"/>
        <v>21025</v>
      </c>
      <c r="K75" s="25">
        <f t="shared" si="60"/>
        <v>20736</v>
      </c>
      <c r="L75" s="24">
        <f t="shared" si="57"/>
        <v>1.0139371141975309</v>
      </c>
      <c r="M75">
        <f t="shared" si="58"/>
        <v>-3106</v>
      </c>
      <c r="N75" s="24">
        <f t="shared" si="59"/>
        <v>6.1217680014329368E-3</v>
      </c>
    </row>
    <row r="76" spans="1:14" x14ac:dyDescent="0.25">
      <c r="A76">
        <v>73</v>
      </c>
      <c r="B76" s="27">
        <f t="shared" si="49"/>
        <v>83.959805968352029</v>
      </c>
      <c r="C76">
        <f t="shared" si="50"/>
        <v>84</v>
      </c>
      <c r="D76">
        <f t="shared" si="51"/>
        <v>169</v>
      </c>
      <c r="E76">
        <f t="shared" si="52"/>
        <v>293</v>
      </c>
      <c r="F76">
        <f t="shared" si="53"/>
        <v>24758</v>
      </c>
      <c r="G76" s="24">
        <f t="shared" si="54"/>
        <v>24613.596676092126</v>
      </c>
      <c r="H76" s="24">
        <f t="shared" si="55"/>
        <v>1.0058668111697848</v>
      </c>
      <c r="I76">
        <f t="shared" si="56"/>
        <v>147</v>
      </c>
      <c r="J76">
        <f t="shared" si="25"/>
        <v>21609</v>
      </c>
      <c r="K76" s="25">
        <f t="shared" si="60"/>
        <v>21316</v>
      </c>
      <c r="L76" s="24">
        <f t="shared" si="57"/>
        <v>1.0137455432538938</v>
      </c>
      <c r="M76">
        <f t="shared" si="58"/>
        <v>-3149</v>
      </c>
      <c r="N76" s="24">
        <f t="shared" si="59"/>
        <v>7.8787320841089414E-3</v>
      </c>
    </row>
    <row r="77" spans="1:14" x14ac:dyDescent="0.25">
      <c r="A77">
        <v>74</v>
      </c>
      <c r="B77" s="27">
        <f t="shared" si="49"/>
        <v>85.114506506731274</v>
      </c>
      <c r="C77">
        <f t="shared" si="50"/>
        <v>86</v>
      </c>
      <c r="D77">
        <f t="shared" si="51"/>
        <v>173</v>
      </c>
      <c r="E77">
        <f t="shared" si="52"/>
        <v>297</v>
      </c>
      <c r="F77">
        <f t="shared" si="53"/>
        <v>25690</v>
      </c>
      <c r="G77" s="24">
        <f t="shared" si="54"/>
        <v>25292.560592659127</v>
      </c>
      <c r="H77" s="24">
        <f t="shared" si="55"/>
        <v>1.0157136880579907</v>
      </c>
      <c r="I77">
        <f t="shared" si="56"/>
        <v>149</v>
      </c>
      <c r="J77">
        <f t="shared" si="25"/>
        <v>22201</v>
      </c>
      <c r="K77" s="25">
        <f t="shared" si="60"/>
        <v>21904</v>
      </c>
      <c r="L77" s="24">
        <f t="shared" si="57"/>
        <v>1.0135591672753834</v>
      </c>
      <c r="M77">
        <f t="shared" si="58"/>
        <v>-3489</v>
      </c>
      <c r="N77" s="24">
        <f t="shared" si="59"/>
        <v>-2.1545207826072499E-3</v>
      </c>
    </row>
    <row r="78" spans="1:14" x14ac:dyDescent="0.25">
      <c r="A78">
        <v>75</v>
      </c>
      <c r="B78" s="27">
        <f t="shared" si="49"/>
        <v>86.269207045110534</v>
      </c>
      <c r="C78">
        <f t="shared" si="50"/>
        <v>87</v>
      </c>
      <c r="D78">
        <f t="shared" si="51"/>
        <v>175</v>
      </c>
      <c r="E78">
        <f t="shared" si="52"/>
        <v>301</v>
      </c>
      <c r="F78">
        <f t="shared" si="53"/>
        <v>26337</v>
      </c>
      <c r="G78" s="24">
        <f t="shared" si="54"/>
        <v>25980.762113533161</v>
      </c>
      <c r="H78" s="24">
        <f t="shared" si="55"/>
        <v>1.0137116026431447</v>
      </c>
      <c r="I78">
        <f t="shared" si="56"/>
        <v>151</v>
      </c>
      <c r="J78">
        <f t="shared" si="25"/>
        <v>22801</v>
      </c>
      <c r="K78" s="25">
        <f t="shared" si="60"/>
        <v>22500</v>
      </c>
      <c r="L78" s="24">
        <f t="shared" si="57"/>
        <v>1.0133777777777777</v>
      </c>
      <c r="M78">
        <f t="shared" si="58"/>
        <v>-3536</v>
      </c>
      <c r="N78" s="24">
        <f t="shared" si="59"/>
        <v>-3.3382486536703837E-4</v>
      </c>
    </row>
    <row r="79" spans="1:14" x14ac:dyDescent="0.25">
      <c r="A79">
        <v>76</v>
      </c>
      <c r="B79" s="27">
        <f t="shared" si="49"/>
        <v>87.423907583489779</v>
      </c>
      <c r="C79">
        <f t="shared" si="50"/>
        <v>88</v>
      </c>
      <c r="D79">
        <f t="shared" si="51"/>
        <v>177</v>
      </c>
      <c r="E79">
        <f t="shared" si="52"/>
        <v>305</v>
      </c>
      <c r="F79">
        <f t="shared" si="53"/>
        <v>26992</v>
      </c>
      <c r="G79" s="24">
        <f t="shared" si="54"/>
        <v>26678.201238714228</v>
      </c>
      <c r="H79" s="24">
        <f t="shared" si="55"/>
        <v>1.0117623657786343</v>
      </c>
      <c r="I79">
        <f t="shared" si="56"/>
        <v>153</v>
      </c>
      <c r="J79">
        <f t="shared" si="25"/>
        <v>23409</v>
      </c>
      <c r="K79" s="25">
        <f t="shared" si="60"/>
        <v>23104</v>
      </c>
      <c r="L79" s="24">
        <f t="shared" si="57"/>
        <v>1.0132011772853187</v>
      </c>
      <c r="M79">
        <f t="shared" si="58"/>
        <v>-3583</v>
      </c>
      <c r="N79" s="24">
        <f t="shared" si="59"/>
        <v>1.4388115066843454E-3</v>
      </c>
    </row>
    <row r="80" spans="1:14" x14ac:dyDescent="0.25">
      <c r="A80">
        <v>77</v>
      </c>
      <c r="B80" s="27">
        <f t="shared" si="49"/>
        <v>88.578608121869024</v>
      </c>
      <c r="C80">
        <f t="shared" si="50"/>
        <v>89</v>
      </c>
      <c r="D80">
        <f t="shared" si="51"/>
        <v>179</v>
      </c>
      <c r="E80">
        <f t="shared" si="52"/>
        <v>309</v>
      </c>
      <c r="F80">
        <f t="shared" si="53"/>
        <v>27655</v>
      </c>
      <c r="G80" s="24">
        <f t="shared" si="54"/>
        <v>27384.877968202331</v>
      </c>
      <c r="H80" s="24">
        <f t="shared" si="55"/>
        <v>1.0098639121967723</v>
      </c>
      <c r="I80">
        <f t="shared" si="56"/>
        <v>155</v>
      </c>
      <c r="J80">
        <f t="shared" si="25"/>
        <v>24025</v>
      </c>
      <c r="K80" s="25">
        <f t="shared" si="60"/>
        <v>23716</v>
      </c>
      <c r="L80" s="24">
        <f t="shared" si="57"/>
        <v>1.0130291786135941</v>
      </c>
      <c r="M80">
        <f t="shared" si="58"/>
        <v>-3630</v>
      </c>
      <c r="N80" s="24">
        <f t="shared" si="59"/>
        <v>3.1652664168217992E-3</v>
      </c>
    </row>
    <row r="81" spans="1:14" x14ac:dyDescent="0.25">
      <c r="A81">
        <v>78</v>
      </c>
      <c r="B81" s="27">
        <f t="shared" si="49"/>
        <v>89.733308660248284</v>
      </c>
      <c r="C81">
        <f t="shared" si="50"/>
        <v>90</v>
      </c>
      <c r="D81">
        <f t="shared" si="51"/>
        <v>181</v>
      </c>
      <c r="E81">
        <f t="shared" si="52"/>
        <v>313</v>
      </c>
      <c r="F81">
        <f t="shared" si="53"/>
        <v>28326</v>
      </c>
      <c r="G81" s="24">
        <f t="shared" si="54"/>
        <v>28100.792301997466</v>
      </c>
      <c r="H81" s="24">
        <f t="shared" si="55"/>
        <v>1.0080142828565914</v>
      </c>
      <c r="I81">
        <f t="shared" si="56"/>
        <v>157</v>
      </c>
      <c r="J81">
        <f t="shared" si="25"/>
        <v>24649</v>
      </c>
      <c r="K81" s="25">
        <f t="shared" si="60"/>
        <v>24336</v>
      </c>
      <c r="L81" s="24">
        <f t="shared" si="57"/>
        <v>1.0128616042077581</v>
      </c>
      <c r="M81">
        <f t="shared" si="58"/>
        <v>-3677</v>
      </c>
      <c r="N81" s="24">
        <f t="shared" si="59"/>
        <v>4.8473213511666113E-3</v>
      </c>
    </row>
    <row r="82" spans="1:14" x14ac:dyDescent="0.25">
      <c r="A82">
        <v>79</v>
      </c>
      <c r="B82" s="27">
        <f t="shared" si="49"/>
        <v>90.888009198627529</v>
      </c>
      <c r="C82">
        <f t="shared" si="50"/>
        <v>91</v>
      </c>
      <c r="D82">
        <f t="shared" si="51"/>
        <v>183</v>
      </c>
      <c r="E82">
        <f t="shared" si="52"/>
        <v>317</v>
      </c>
      <c r="F82">
        <f t="shared" si="53"/>
        <v>29005</v>
      </c>
      <c r="G82" s="24">
        <f t="shared" si="54"/>
        <v>28825.944240099638</v>
      </c>
      <c r="H82" s="24">
        <f t="shared" si="55"/>
        <v>1.0062116182009149</v>
      </c>
      <c r="I82">
        <f t="shared" si="56"/>
        <v>159</v>
      </c>
      <c r="J82">
        <f t="shared" si="25"/>
        <v>25281</v>
      </c>
      <c r="K82" s="25">
        <f t="shared" si="60"/>
        <v>24964</v>
      </c>
      <c r="L82" s="24">
        <f t="shared" si="57"/>
        <v>1.0126982855311648</v>
      </c>
      <c r="M82">
        <f t="shared" si="58"/>
        <v>-3724</v>
      </c>
      <c r="N82" s="24">
        <f t="shared" si="59"/>
        <v>6.48666733024994E-3</v>
      </c>
    </row>
    <row r="83" spans="1:14" x14ac:dyDescent="0.25">
      <c r="A83">
        <v>80</v>
      </c>
      <c r="B83" s="27">
        <f t="shared" si="49"/>
        <v>92.042709737006774</v>
      </c>
      <c r="C83">
        <f t="shared" si="50"/>
        <v>93</v>
      </c>
      <c r="D83">
        <f t="shared" si="51"/>
        <v>187</v>
      </c>
      <c r="E83">
        <f t="shared" si="52"/>
        <v>321</v>
      </c>
      <c r="F83">
        <f t="shared" si="53"/>
        <v>30013</v>
      </c>
      <c r="G83" s="24">
        <f t="shared" si="54"/>
        <v>29560.333782508842</v>
      </c>
      <c r="H83" s="24">
        <f t="shared" si="55"/>
        <v>1.0153132985852482</v>
      </c>
      <c r="I83">
        <f t="shared" si="56"/>
        <v>161</v>
      </c>
      <c r="J83">
        <f t="shared" si="25"/>
        <v>25921</v>
      </c>
      <c r="K83" s="25">
        <f t="shared" si="60"/>
        <v>25600</v>
      </c>
      <c r="L83" s="24">
        <f t="shared" si="57"/>
        <v>1.0125390624999999</v>
      </c>
      <c r="M83">
        <f t="shared" si="58"/>
        <v>-4092</v>
      </c>
      <c r="N83" s="24">
        <f t="shared" si="59"/>
        <v>-2.7742360852482939E-3</v>
      </c>
    </row>
    <row r="84" spans="1:14" x14ac:dyDescent="0.25">
      <c r="A84">
        <v>81</v>
      </c>
      <c r="B84" s="27">
        <f t="shared" si="49"/>
        <v>93.197410275386048</v>
      </c>
      <c r="C84">
        <f t="shared" si="50"/>
        <v>94</v>
      </c>
      <c r="D84">
        <f t="shared" si="51"/>
        <v>189</v>
      </c>
      <c r="E84">
        <f t="shared" si="52"/>
        <v>325</v>
      </c>
      <c r="F84">
        <f t="shared" si="53"/>
        <v>30712</v>
      </c>
      <c r="G84" s="24">
        <f t="shared" si="54"/>
        <v>30303.960929225079</v>
      </c>
      <c r="H84" s="24">
        <f t="shared" si="55"/>
        <v>1.0134648758202895</v>
      </c>
      <c r="I84">
        <f t="shared" si="56"/>
        <v>163</v>
      </c>
      <c r="J84">
        <f t="shared" si="25"/>
        <v>26569</v>
      </c>
      <c r="K84" s="25">
        <f t="shared" si="60"/>
        <v>26244</v>
      </c>
      <c r="L84" s="24">
        <f t="shared" si="57"/>
        <v>1.0123837829599147</v>
      </c>
      <c r="M84">
        <f t="shared" si="58"/>
        <v>-4143</v>
      </c>
      <c r="N84" s="24">
        <f t="shared" si="59"/>
        <v>-1.0810928603748327E-3</v>
      </c>
    </row>
    <row r="85" spans="1:14" x14ac:dyDescent="0.25">
      <c r="A85">
        <v>82</v>
      </c>
      <c r="B85" s="27">
        <f t="shared" si="49"/>
        <v>94.352110813765293</v>
      </c>
      <c r="C85">
        <f t="shared" si="50"/>
        <v>95</v>
      </c>
      <c r="D85">
        <f t="shared" si="51"/>
        <v>191</v>
      </c>
      <c r="E85">
        <f t="shared" si="52"/>
        <v>329</v>
      </c>
      <c r="F85">
        <f t="shared" si="53"/>
        <v>31419</v>
      </c>
      <c r="G85" s="24">
        <f t="shared" si="54"/>
        <v>31056.825680248352</v>
      </c>
      <c r="H85" s="24">
        <f t="shared" si="55"/>
        <v>1.0116616657310855</v>
      </c>
      <c r="I85">
        <f t="shared" si="56"/>
        <v>165</v>
      </c>
      <c r="J85">
        <f t="shared" si="25"/>
        <v>27225</v>
      </c>
      <c r="K85" s="25">
        <f t="shared" si="60"/>
        <v>26896</v>
      </c>
      <c r="L85" s="24">
        <f t="shared" si="57"/>
        <v>1.0122323022010709</v>
      </c>
      <c r="M85">
        <f t="shared" si="58"/>
        <v>-4194</v>
      </c>
      <c r="N85" s="24">
        <f t="shared" si="59"/>
        <v>5.7063646998534168E-4</v>
      </c>
    </row>
    <row r="86" spans="1:14" x14ac:dyDescent="0.25">
      <c r="A86">
        <v>83</v>
      </c>
      <c r="B86" s="27">
        <f t="shared" si="49"/>
        <v>95.506811352144538</v>
      </c>
      <c r="C86">
        <f t="shared" si="50"/>
        <v>96</v>
      </c>
      <c r="D86">
        <f t="shared" si="51"/>
        <v>193</v>
      </c>
      <c r="E86">
        <f t="shared" si="52"/>
        <v>333</v>
      </c>
      <c r="F86">
        <f t="shared" si="53"/>
        <v>32134</v>
      </c>
      <c r="G86" s="24">
        <f t="shared" si="54"/>
        <v>31818.928035578658</v>
      </c>
      <c r="H86" s="24">
        <f t="shared" si="55"/>
        <v>1.0099020295111463</v>
      </c>
      <c r="I86">
        <f t="shared" si="56"/>
        <v>167</v>
      </c>
      <c r="J86">
        <f t="shared" si="25"/>
        <v>27889</v>
      </c>
      <c r="K86" s="25">
        <f t="shared" si="60"/>
        <v>27556</v>
      </c>
      <c r="L86" s="24">
        <f t="shared" si="57"/>
        <v>1.0120844825083466</v>
      </c>
      <c r="M86">
        <f t="shared" si="58"/>
        <v>-4245</v>
      </c>
      <c r="N86" s="24">
        <f t="shared" si="59"/>
        <v>2.1824529972003237E-3</v>
      </c>
    </row>
    <row r="87" spans="1:14" x14ac:dyDescent="0.25">
      <c r="A87">
        <v>84</v>
      </c>
      <c r="B87" s="27">
        <f t="shared" si="49"/>
        <v>96.661511890523798</v>
      </c>
      <c r="C87">
        <f t="shared" si="50"/>
        <v>97</v>
      </c>
      <c r="D87">
        <f t="shared" si="51"/>
        <v>195</v>
      </c>
      <c r="E87">
        <f t="shared" si="52"/>
        <v>337</v>
      </c>
      <c r="F87">
        <f t="shared" si="53"/>
        <v>32857</v>
      </c>
      <c r="G87" s="24">
        <f t="shared" si="54"/>
        <v>32590.267995215996</v>
      </c>
      <c r="H87" s="24">
        <f t="shared" si="55"/>
        <v>1.0081844066094565</v>
      </c>
      <c r="I87">
        <f t="shared" si="56"/>
        <v>169</v>
      </c>
      <c r="J87">
        <f t="shared" si="25"/>
        <v>28561</v>
      </c>
      <c r="K87" s="25">
        <f t="shared" si="60"/>
        <v>28224</v>
      </c>
      <c r="L87" s="24">
        <f t="shared" si="57"/>
        <v>1.0119401927437641</v>
      </c>
      <c r="M87">
        <f t="shared" si="58"/>
        <v>-4296</v>
      </c>
      <c r="N87" s="24">
        <f t="shared" si="59"/>
        <v>3.7557861343076038E-3</v>
      </c>
    </row>
    <row r="88" spans="1:14" x14ac:dyDescent="0.25">
      <c r="A88">
        <v>85</v>
      </c>
      <c r="B88" s="27">
        <f t="shared" si="49"/>
        <v>97.816212428903043</v>
      </c>
      <c r="C88">
        <f t="shared" si="50"/>
        <v>98</v>
      </c>
      <c r="D88">
        <f t="shared" si="51"/>
        <v>197</v>
      </c>
      <c r="E88">
        <f t="shared" si="52"/>
        <v>341</v>
      </c>
      <c r="F88">
        <f t="shared" si="53"/>
        <v>33588</v>
      </c>
      <c r="G88" s="24">
        <f t="shared" si="54"/>
        <v>33370.845559160371</v>
      </c>
      <c r="H88" s="24">
        <f t="shared" si="55"/>
        <v>1.0065073101145925</v>
      </c>
      <c r="I88">
        <f t="shared" si="56"/>
        <v>171</v>
      </c>
      <c r="J88">
        <f t="shared" si="25"/>
        <v>29241</v>
      </c>
      <c r="K88" s="25">
        <f t="shared" si="60"/>
        <v>28900</v>
      </c>
      <c r="L88" s="24">
        <f t="shared" si="57"/>
        <v>1.0117993079584775</v>
      </c>
      <c r="M88">
        <f t="shared" si="58"/>
        <v>-4347</v>
      </c>
      <c r="N88" s="24">
        <f t="shared" si="59"/>
        <v>5.2919978438850102E-3</v>
      </c>
    </row>
    <row r="89" spans="1:14" x14ac:dyDescent="0.25">
      <c r="A89">
        <v>86</v>
      </c>
      <c r="B89" s="27">
        <f t="shared" si="49"/>
        <v>98.970912967282288</v>
      </c>
      <c r="C89">
        <f t="shared" si="50"/>
        <v>99</v>
      </c>
      <c r="D89">
        <f t="shared" si="51"/>
        <v>199</v>
      </c>
      <c r="E89">
        <f t="shared" si="52"/>
        <v>345</v>
      </c>
      <c r="F89">
        <f t="shared" si="53"/>
        <v>34327</v>
      </c>
      <c r="G89" s="24">
        <f t="shared" si="54"/>
        <v>34160.660727411778</v>
      </c>
      <c r="H89" s="24">
        <f t="shared" si="55"/>
        <v>1.0048693224617504</v>
      </c>
      <c r="I89">
        <f t="shared" si="56"/>
        <v>173</v>
      </c>
      <c r="J89">
        <f t="shared" si="25"/>
        <v>29929</v>
      </c>
      <c r="K89" s="25">
        <f t="shared" si="60"/>
        <v>29584</v>
      </c>
      <c r="L89" s="24">
        <f t="shared" si="57"/>
        <v>1.0116617090319091</v>
      </c>
      <c r="M89">
        <f t="shared" si="58"/>
        <v>-4398</v>
      </c>
      <c r="N89" s="24">
        <f t="shared" si="59"/>
        <v>6.7923865701586816E-3</v>
      </c>
    </row>
    <row r="90" spans="1:14" x14ac:dyDescent="0.25">
      <c r="A90">
        <v>87</v>
      </c>
      <c r="B90" s="27">
        <f t="shared" si="49"/>
        <v>100.12561350566155</v>
      </c>
      <c r="C90">
        <f t="shared" si="50"/>
        <v>101</v>
      </c>
      <c r="D90">
        <f t="shared" si="51"/>
        <v>203</v>
      </c>
      <c r="E90">
        <f t="shared" si="52"/>
        <v>349</v>
      </c>
      <c r="F90">
        <f t="shared" si="53"/>
        <v>35423</v>
      </c>
      <c r="G90" s="24">
        <f t="shared" si="54"/>
        <v>34959.713499970225</v>
      </c>
      <c r="H90" s="24">
        <f t="shared" si="55"/>
        <v>1.0132520107760656</v>
      </c>
      <c r="I90">
        <f t="shared" si="56"/>
        <v>175</v>
      </c>
      <c r="J90">
        <f t="shared" ref="J90:J153" si="61">I90*I90</f>
        <v>30625</v>
      </c>
      <c r="K90" s="25">
        <f t="shared" si="60"/>
        <v>30276</v>
      </c>
      <c r="L90" s="24">
        <f t="shared" si="57"/>
        <v>1.0115272823358437</v>
      </c>
      <c r="M90">
        <f t="shared" si="58"/>
        <v>-4798</v>
      </c>
      <c r="N90" s="24">
        <f t="shared" si="59"/>
        <v>-1.7247284402219787E-3</v>
      </c>
    </row>
    <row r="91" spans="1:14" x14ac:dyDescent="0.25">
      <c r="A91">
        <v>88</v>
      </c>
      <c r="B91" s="27">
        <f t="shared" ref="B91:B102" si="62">(A91*SQRT(3)*2+2)/3-1</f>
        <v>101.28031404404079</v>
      </c>
      <c r="C91">
        <f t="shared" ref="C91:C102" si="63">CEILING(B91,1)</f>
        <v>102</v>
      </c>
      <c r="D91">
        <f t="shared" ref="D91:D102" si="64">2*C91+1</f>
        <v>205</v>
      </c>
      <c r="E91">
        <f t="shared" ref="E91:E102" si="65">4*A91+1</f>
        <v>353</v>
      </c>
      <c r="F91">
        <f t="shared" ref="F91:F102" si="66">((D91*E91)-1)/2</f>
        <v>36182</v>
      </c>
      <c r="G91" s="24">
        <f t="shared" ref="G91:G102" si="67">(2*A91)*(2*A91)/G$2</f>
        <v>35768.003876835697</v>
      </c>
      <c r="H91" s="24">
        <f t="shared" ref="H91:H102" si="68">F91/G91</f>
        <v>1.0115744821709891</v>
      </c>
      <c r="I91">
        <f t="shared" ref="I91:I102" si="69">A91*2+1</f>
        <v>177</v>
      </c>
      <c r="J91">
        <f t="shared" si="25"/>
        <v>31329</v>
      </c>
      <c r="K91" s="25">
        <f t="shared" si="60"/>
        <v>30976</v>
      </c>
      <c r="L91" s="24">
        <f t="shared" ref="L91:L102" si="70">J91/K91</f>
        <v>1.0113959194214877</v>
      </c>
      <c r="M91">
        <f t="shared" ref="M91:M102" si="71">J91-F91</f>
        <v>-4853</v>
      </c>
      <c r="N91" s="24">
        <f t="shared" ref="N91:N102" si="72">L91-H91</f>
        <v>-1.7856274950145412E-4</v>
      </c>
    </row>
    <row r="92" spans="1:14" x14ac:dyDescent="0.25">
      <c r="A92">
        <v>89</v>
      </c>
      <c r="B92" s="27">
        <f t="shared" si="62"/>
        <v>102.43501458242004</v>
      </c>
      <c r="C92">
        <f t="shared" si="63"/>
        <v>103</v>
      </c>
      <c r="D92">
        <f t="shared" si="64"/>
        <v>207</v>
      </c>
      <c r="E92">
        <f t="shared" si="65"/>
        <v>357</v>
      </c>
      <c r="F92">
        <f t="shared" si="66"/>
        <v>36949</v>
      </c>
      <c r="G92" s="24">
        <f t="shared" si="67"/>
        <v>36585.531858008209</v>
      </c>
      <c r="H92" s="24">
        <f t="shared" si="68"/>
        <v>1.0099347508026517</v>
      </c>
      <c r="I92">
        <f t="shared" si="69"/>
        <v>179</v>
      </c>
      <c r="J92">
        <f t="shared" si="61"/>
        <v>32041</v>
      </c>
      <c r="K92" s="25">
        <f t="shared" si="60"/>
        <v>31684</v>
      </c>
      <c r="L92" s="24">
        <f t="shared" si="70"/>
        <v>1.0112675167276859</v>
      </c>
      <c r="M92">
        <f t="shared" si="71"/>
        <v>-4908</v>
      </c>
      <c r="N92" s="24">
        <f t="shared" si="72"/>
        <v>1.3327659250341739E-3</v>
      </c>
    </row>
    <row r="93" spans="1:14" x14ac:dyDescent="0.25">
      <c r="A93">
        <v>90</v>
      </c>
      <c r="B93" s="27">
        <f t="shared" si="62"/>
        <v>103.58971512079931</v>
      </c>
      <c r="C93">
        <f t="shared" si="63"/>
        <v>104</v>
      </c>
      <c r="D93">
        <f t="shared" si="64"/>
        <v>209</v>
      </c>
      <c r="E93">
        <f t="shared" si="65"/>
        <v>361</v>
      </c>
      <c r="F93">
        <f t="shared" si="66"/>
        <v>37724</v>
      </c>
      <c r="G93" s="24">
        <f t="shared" si="67"/>
        <v>37412.297443487754</v>
      </c>
      <c r="H93" s="24">
        <f t="shared" si="68"/>
        <v>1.0083315534680297</v>
      </c>
      <c r="I93">
        <f t="shared" si="69"/>
        <v>181</v>
      </c>
      <c r="J93">
        <f t="shared" si="61"/>
        <v>32761</v>
      </c>
      <c r="K93" s="25">
        <f t="shared" si="60"/>
        <v>32400</v>
      </c>
      <c r="L93" s="24">
        <f t="shared" si="70"/>
        <v>1.0111419753086419</v>
      </c>
      <c r="M93">
        <f t="shared" si="71"/>
        <v>-4963</v>
      </c>
      <c r="N93" s="24">
        <f t="shared" si="72"/>
        <v>2.8104218406121984E-3</v>
      </c>
    </row>
    <row r="94" spans="1:14" x14ac:dyDescent="0.25">
      <c r="A94">
        <v>91</v>
      </c>
      <c r="B94" s="27">
        <f t="shared" si="62"/>
        <v>104.74441565917856</v>
      </c>
      <c r="C94">
        <f t="shared" si="63"/>
        <v>105</v>
      </c>
      <c r="D94">
        <f t="shared" si="64"/>
        <v>211</v>
      </c>
      <c r="E94">
        <f t="shared" si="65"/>
        <v>365</v>
      </c>
      <c r="F94">
        <f t="shared" si="66"/>
        <v>38507</v>
      </c>
      <c r="G94" s="24">
        <f t="shared" si="67"/>
        <v>38248.300633274332</v>
      </c>
      <c r="H94" s="24">
        <f t="shared" si="68"/>
        <v>1.0067636826327551</v>
      </c>
      <c r="I94">
        <f t="shared" si="69"/>
        <v>183</v>
      </c>
      <c r="J94">
        <f t="shared" si="61"/>
        <v>33489</v>
      </c>
      <c r="K94" s="25">
        <f t="shared" si="60"/>
        <v>33124</v>
      </c>
      <c r="L94" s="24">
        <f t="shared" si="70"/>
        <v>1.0110192005796401</v>
      </c>
      <c r="M94">
        <f t="shared" si="71"/>
        <v>-5018</v>
      </c>
      <c r="N94" s="24">
        <f t="shared" si="72"/>
        <v>4.2555179468850568E-3</v>
      </c>
    </row>
    <row r="95" spans="1:14" x14ac:dyDescent="0.25">
      <c r="A95">
        <v>92</v>
      </c>
      <c r="B95" s="27">
        <f t="shared" si="62"/>
        <v>105.8991161975578</v>
      </c>
      <c r="C95">
        <f t="shared" si="63"/>
        <v>106</v>
      </c>
      <c r="D95">
        <f t="shared" si="64"/>
        <v>213</v>
      </c>
      <c r="E95">
        <f t="shared" si="65"/>
        <v>369</v>
      </c>
      <c r="F95">
        <f t="shared" si="66"/>
        <v>39298</v>
      </c>
      <c r="G95" s="24">
        <f t="shared" si="67"/>
        <v>39093.541427367942</v>
      </c>
      <c r="H95" s="24">
        <f t="shared" si="68"/>
        <v>1.0052299833979463</v>
      </c>
      <c r="I95">
        <f t="shared" si="69"/>
        <v>185</v>
      </c>
      <c r="J95">
        <f t="shared" si="61"/>
        <v>34225</v>
      </c>
      <c r="K95" s="25">
        <f t="shared" si="60"/>
        <v>33856</v>
      </c>
      <c r="L95" s="24">
        <f t="shared" si="70"/>
        <v>1.0108991020793952</v>
      </c>
      <c r="M95">
        <f t="shared" si="71"/>
        <v>-5073</v>
      </c>
      <c r="N95" s="24">
        <f t="shared" si="72"/>
        <v>5.6691186814488148E-3</v>
      </c>
    </row>
    <row r="96" spans="1:14" x14ac:dyDescent="0.25">
      <c r="A96">
        <v>93</v>
      </c>
      <c r="B96" s="27">
        <f t="shared" si="62"/>
        <v>107.05381673593706</v>
      </c>
      <c r="C96">
        <f t="shared" si="63"/>
        <v>108</v>
      </c>
      <c r="D96">
        <f t="shared" si="64"/>
        <v>217</v>
      </c>
      <c r="E96">
        <f t="shared" si="65"/>
        <v>373</v>
      </c>
      <c r="F96">
        <f t="shared" si="66"/>
        <v>40470</v>
      </c>
      <c r="G96" s="24">
        <f t="shared" si="67"/>
        <v>39948.019825768592</v>
      </c>
      <c r="H96" s="24">
        <f t="shared" si="68"/>
        <v>1.0130664843090595</v>
      </c>
      <c r="I96">
        <f t="shared" si="69"/>
        <v>187</v>
      </c>
      <c r="J96">
        <f t="shared" si="61"/>
        <v>34969</v>
      </c>
      <c r="K96" s="25">
        <f t="shared" si="60"/>
        <v>34596</v>
      </c>
      <c r="L96" s="24">
        <f t="shared" si="70"/>
        <v>1.0107815932477744</v>
      </c>
      <c r="M96">
        <f t="shared" si="71"/>
        <v>-5501</v>
      </c>
      <c r="N96" s="24">
        <f t="shared" si="72"/>
        <v>-2.2848910612851547E-3</v>
      </c>
    </row>
    <row r="97" spans="1:14" x14ac:dyDescent="0.25">
      <c r="A97">
        <v>94</v>
      </c>
      <c r="B97" s="27">
        <f t="shared" si="62"/>
        <v>108.20851727431631</v>
      </c>
      <c r="C97">
        <f t="shared" si="63"/>
        <v>109</v>
      </c>
      <c r="D97">
        <f t="shared" si="64"/>
        <v>219</v>
      </c>
      <c r="E97">
        <f t="shared" si="65"/>
        <v>377</v>
      </c>
      <c r="F97">
        <f t="shared" si="66"/>
        <v>41281</v>
      </c>
      <c r="G97" s="24">
        <f t="shared" si="67"/>
        <v>40811.735828476267</v>
      </c>
      <c r="H97" s="24">
        <f t="shared" si="68"/>
        <v>1.0114982654375682</v>
      </c>
      <c r="I97">
        <f t="shared" si="69"/>
        <v>189</v>
      </c>
      <c r="J97">
        <f t="shared" si="61"/>
        <v>35721</v>
      </c>
      <c r="K97" s="25">
        <f t="shared" si="60"/>
        <v>35344</v>
      </c>
      <c r="L97" s="24">
        <f t="shared" si="70"/>
        <v>1.0106665912177455</v>
      </c>
      <c r="M97">
        <f t="shared" si="71"/>
        <v>-5560</v>
      </c>
      <c r="N97" s="24">
        <f t="shared" si="72"/>
        <v>-8.3167421982266454E-4</v>
      </c>
    </row>
    <row r="98" spans="1:14" x14ac:dyDescent="0.25">
      <c r="A98">
        <v>95</v>
      </c>
      <c r="B98" s="27">
        <f t="shared" si="62"/>
        <v>109.36321781269555</v>
      </c>
      <c r="C98">
        <f t="shared" si="63"/>
        <v>110</v>
      </c>
      <c r="D98">
        <f t="shared" si="64"/>
        <v>221</v>
      </c>
      <c r="E98">
        <f t="shared" si="65"/>
        <v>381</v>
      </c>
      <c r="F98">
        <f t="shared" si="66"/>
        <v>42100</v>
      </c>
      <c r="G98" s="24">
        <f t="shared" si="67"/>
        <v>41684.689435490982</v>
      </c>
      <c r="H98" s="24">
        <f t="shared" si="68"/>
        <v>1.0099631440256196</v>
      </c>
      <c r="I98">
        <f t="shared" si="69"/>
        <v>191</v>
      </c>
      <c r="J98">
        <f t="shared" si="61"/>
        <v>36481</v>
      </c>
      <c r="K98" s="25">
        <f t="shared" si="60"/>
        <v>36100</v>
      </c>
      <c r="L98" s="24">
        <f t="shared" si="70"/>
        <v>1.0105540166204987</v>
      </c>
      <c r="M98">
        <f t="shared" si="71"/>
        <v>-5619</v>
      </c>
      <c r="N98" s="24">
        <f t="shared" si="72"/>
        <v>5.9087259487911048E-4</v>
      </c>
    </row>
    <row r="99" spans="1:14" x14ac:dyDescent="0.25">
      <c r="A99">
        <v>96</v>
      </c>
      <c r="B99" s="27">
        <f t="shared" si="62"/>
        <v>110.51791835107481</v>
      </c>
      <c r="C99">
        <f t="shared" si="63"/>
        <v>111</v>
      </c>
      <c r="D99">
        <f t="shared" si="64"/>
        <v>223</v>
      </c>
      <c r="E99">
        <f t="shared" si="65"/>
        <v>385</v>
      </c>
      <c r="F99">
        <f t="shared" si="66"/>
        <v>42927</v>
      </c>
      <c r="G99" s="24">
        <f t="shared" si="67"/>
        <v>42566.88064681273</v>
      </c>
      <c r="H99" s="24">
        <f t="shared" si="68"/>
        <v>1.0084600832317328</v>
      </c>
      <c r="I99">
        <f t="shared" si="69"/>
        <v>193</v>
      </c>
      <c r="J99">
        <f t="shared" si="61"/>
        <v>37249</v>
      </c>
      <c r="K99" s="25">
        <f t="shared" si="60"/>
        <v>36864</v>
      </c>
      <c r="L99" s="24">
        <f t="shared" si="70"/>
        <v>1.0104437934027777</v>
      </c>
      <c r="M99">
        <f t="shared" si="71"/>
        <v>-5678</v>
      </c>
      <c r="N99" s="24">
        <f t="shared" si="72"/>
        <v>1.9837101710449279E-3</v>
      </c>
    </row>
    <row r="100" spans="1:14" x14ac:dyDescent="0.25">
      <c r="A100">
        <v>97</v>
      </c>
      <c r="B100" s="27">
        <f t="shared" si="62"/>
        <v>111.67261888945406</v>
      </c>
      <c r="C100">
        <f t="shared" si="63"/>
        <v>112</v>
      </c>
      <c r="D100">
        <f t="shared" si="64"/>
        <v>225</v>
      </c>
      <c r="E100">
        <f t="shared" si="65"/>
        <v>389</v>
      </c>
      <c r="F100">
        <f t="shared" si="66"/>
        <v>43762</v>
      </c>
      <c r="G100" s="24">
        <f t="shared" si="67"/>
        <v>43458.30946244151</v>
      </c>
      <c r="H100" s="24">
        <f t="shared" si="68"/>
        <v>1.0069880890746785</v>
      </c>
      <c r="I100">
        <f t="shared" si="69"/>
        <v>195</v>
      </c>
      <c r="J100">
        <f t="shared" si="61"/>
        <v>38025</v>
      </c>
      <c r="K100" s="25">
        <f t="shared" si="60"/>
        <v>37636</v>
      </c>
      <c r="L100" s="24">
        <f t="shared" si="70"/>
        <v>1.0103358486555425</v>
      </c>
      <c r="M100">
        <f t="shared" si="71"/>
        <v>-5737</v>
      </c>
      <c r="N100" s="24">
        <f t="shared" si="72"/>
        <v>3.3477595808639737E-3</v>
      </c>
    </row>
    <row r="101" spans="1:14" x14ac:dyDescent="0.25">
      <c r="A101">
        <v>98</v>
      </c>
      <c r="B101" s="27">
        <f t="shared" si="62"/>
        <v>112.8273194278333</v>
      </c>
      <c r="C101">
        <f t="shared" si="63"/>
        <v>113</v>
      </c>
      <c r="D101">
        <f t="shared" si="64"/>
        <v>227</v>
      </c>
      <c r="E101">
        <f t="shared" si="65"/>
        <v>393</v>
      </c>
      <c r="F101">
        <f t="shared" si="66"/>
        <v>44605</v>
      </c>
      <c r="G101" s="24">
        <f t="shared" si="67"/>
        <v>44358.97588237733</v>
      </c>
      <c r="H101" s="24">
        <f t="shared" si="68"/>
        <v>1.0055462082414848</v>
      </c>
      <c r="I101">
        <f t="shared" si="69"/>
        <v>197</v>
      </c>
      <c r="J101">
        <f t="shared" si="61"/>
        <v>38809</v>
      </c>
      <c r="K101" s="25">
        <f t="shared" si="60"/>
        <v>38416</v>
      </c>
      <c r="L101" s="24">
        <f t="shared" si="70"/>
        <v>1.0102301124531445</v>
      </c>
      <c r="M101">
        <f t="shared" si="71"/>
        <v>-5796</v>
      </c>
      <c r="N101" s="24">
        <f t="shared" si="72"/>
        <v>4.6839042116597618E-3</v>
      </c>
    </row>
    <row r="102" spans="1:14" x14ac:dyDescent="0.25">
      <c r="A102">
        <v>99</v>
      </c>
      <c r="B102" s="27">
        <f t="shared" si="62"/>
        <v>113.98201996621255</v>
      </c>
      <c r="C102">
        <f t="shared" si="63"/>
        <v>114</v>
      </c>
      <c r="D102">
        <f t="shared" si="64"/>
        <v>229</v>
      </c>
      <c r="E102">
        <f t="shared" si="65"/>
        <v>397</v>
      </c>
      <c r="F102">
        <f t="shared" si="66"/>
        <v>45456</v>
      </c>
      <c r="G102" s="24">
        <f t="shared" si="67"/>
        <v>45268.879906620183</v>
      </c>
      <c r="H102" s="24">
        <f t="shared" si="68"/>
        <v>1.0041335260286053</v>
      </c>
      <c r="I102">
        <f t="shared" si="69"/>
        <v>199</v>
      </c>
      <c r="J102">
        <f t="shared" si="61"/>
        <v>39601</v>
      </c>
      <c r="K102" s="25">
        <f t="shared" si="60"/>
        <v>39204</v>
      </c>
      <c r="L102" s="24">
        <f t="shared" si="70"/>
        <v>1.0101265177022754</v>
      </c>
      <c r="M102">
        <f t="shared" si="71"/>
        <v>-5855</v>
      </c>
      <c r="N102" s="24">
        <f t="shared" si="72"/>
        <v>5.9929916736700672E-3</v>
      </c>
    </row>
    <row r="103" spans="1:14" x14ac:dyDescent="0.25">
      <c r="A103">
        <v>100</v>
      </c>
      <c r="B103" s="27">
        <f t="shared" ref="B103:B166" si="73">(A103*SQRT(3)*2+2)/3-1</f>
        <v>115.13672050459182</v>
      </c>
      <c r="C103">
        <f t="shared" ref="C103:C166" si="74">CEILING(B103,1)</f>
        <v>116</v>
      </c>
      <c r="D103">
        <f t="shared" ref="D103:D166" si="75">2*C103+1</f>
        <v>233</v>
      </c>
      <c r="E103">
        <f t="shared" ref="E103:E166" si="76">4*A103+1</f>
        <v>401</v>
      </c>
      <c r="F103">
        <f t="shared" ref="F103:F166" si="77">((D103*E103)-1)/2</f>
        <v>46716</v>
      </c>
      <c r="G103" s="24">
        <f t="shared" ref="G103:G166" si="78">(2*A103)*(2*A103)/G$2</f>
        <v>46188.021535170061</v>
      </c>
      <c r="H103" s="24">
        <f t="shared" ref="H103:H166" si="79">F103/G103</f>
        <v>1.0114310690798458</v>
      </c>
      <c r="I103">
        <f t="shared" ref="I103:I166" si="80">A103*2+1</f>
        <v>201</v>
      </c>
      <c r="J103">
        <f t="shared" si="61"/>
        <v>40401</v>
      </c>
      <c r="K103" s="25">
        <f t="shared" si="60"/>
        <v>40000</v>
      </c>
      <c r="L103" s="24">
        <f t="shared" ref="L103:L166" si="81">J103/K103</f>
        <v>1.010025</v>
      </c>
      <c r="M103">
        <f t="shared" ref="M103:M166" si="82">J103-F103</f>
        <v>-6315</v>
      </c>
      <c r="N103" s="24">
        <f t="shared" ref="N103:N166" si="83">L103-H103</f>
        <v>-1.4060690798458619E-3</v>
      </c>
    </row>
    <row r="104" spans="1:14" x14ac:dyDescent="0.25">
      <c r="A104">
        <v>101</v>
      </c>
      <c r="B104" s="27">
        <f t="shared" si="73"/>
        <v>116.29142104297107</v>
      </c>
      <c r="C104">
        <f t="shared" si="74"/>
        <v>117</v>
      </c>
      <c r="D104">
        <f t="shared" si="75"/>
        <v>235</v>
      </c>
      <c r="E104">
        <f t="shared" si="76"/>
        <v>405</v>
      </c>
      <c r="F104">
        <f t="shared" si="77"/>
        <v>47587</v>
      </c>
      <c r="G104" s="24">
        <f t="shared" si="78"/>
        <v>47116.400768026979</v>
      </c>
      <c r="H104" s="24">
        <f t="shared" si="79"/>
        <v>1.009988013182288</v>
      </c>
      <c r="I104">
        <f t="shared" si="80"/>
        <v>203</v>
      </c>
      <c r="J104">
        <f t="shared" si="61"/>
        <v>41209</v>
      </c>
      <c r="K104" s="25">
        <f t="shared" si="60"/>
        <v>40804</v>
      </c>
      <c r="L104" s="24">
        <f t="shared" si="81"/>
        <v>1.0099254975002452</v>
      </c>
      <c r="M104">
        <f t="shared" si="82"/>
        <v>-6378</v>
      </c>
      <c r="N104" s="24">
        <f t="shared" si="83"/>
        <v>-6.251568204285185E-5</v>
      </c>
    </row>
    <row r="105" spans="1:14" x14ac:dyDescent="0.25">
      <c r="A105">
        <v>102</v>
      </c>
      <c r="B105" s="27">
        <f t="shared" si="73"/>
        <v>117.44612158135031</v>
      </c>
      <c r="C105">
        <f t="shared" si="74"/>
        <v>118</v>
      </c>
      <c r="D105">
        <f t="shared" si="75"/>
        <v>237</v>
      </c>
      <c r="E105">
        <f t="shared" si="76"/>
        <v>409</v>
      </c>
      <c r="F105">
        <f t="shared" si="77"/>
        <v>48466</v>
      </c>
      <c r="G105" s="24">
        <f t="shared" si="78"/>
        <v>48054.017605190937</v>
      </c>
      <c r="H105" s="24">
        <f t="shared" si="79"/>
        <v>1.0085733184308103</v>
      </c>
      <c r="I105">
        <f t="shared" si="80"/>
        <v>205</v>
      </c>
      <c r="J105">
        <f t="shared" si="61"/>
        <v>42025</v>
      </c>
      <c r="K105" s="25">
        <f t="shared" si="60"/>
        <v>41616</v>
      </c>
      <c r="L105" s="24">
        <f t="shared" si="81"/>
        <v>1.0098279507881585</v>
      </c>
      <c r="M105">
        <f t="shared" si="82"/>
        <v>-6441</v>
      </c>
      <c r="N105" s="24">
        <f t="shared" si="83"/>
        <v>1.2546323573481288E-3</v>
      </c>
    </row>
    <row r="106" spans="1:14" x14ac:dyDescent="0.25">
      <c r="A106">
        <v>103</v>
      </c>
      <c r="B106" s="27">
        <f t="shared" si="73"/>
        <v>118.60082211972957</v>
      </c>
      <c r="C106">
        <f t="shared" si="74"/>
        <v>119</v>
      </c>
      <c r="D106">
        <f t="shared" si="75"/>
        <v>239</v>
      </c>
      <c r="E106">
        <f t="shared" si="76"/>
        <v>413</v>
      </c>
      <c r="F106">
        <f t="shared" si="77"/>
        <v>49353</v>
      </c>
      <c r="G106" s="24">
        <f t="shared" si="78"/>
        <v>49000.87204666192</v>
      </c>
      <c r="H106" s="24">
        <f t="shared" si="79"/>
        <v>1.0071861568708973</v>
      </c>
      <c r="I106">
        <f t="shared" si="80"/>
        <v>207</v>
      </c>
      <c r="J106">
        <f t="shared" si="61"/>
        <v>42849</v>
      </c>
      <c r="K106" s="25">
        <f t="shared" si="60"/>
        <v>42436</v>
      </c>
      <c r="L106" s="24">
        <f t="shared" si="81"/>
        <v>1.0097323027618059</v>
      </c>
      <c r="M106">
        <f t="shared" si="82"/>
        <v>-6504</v>
      </c>
      <c r="N106" s="24">
        <f t="shared" si="83"/>
        <v>2.5461458909086243E-3</v>
      </c>
    </row>
    <row r="107" spans="1:14" x14ac:dyDescent="0.25">
      <c r="A107">
        <v>104</v>
      </c>
      <c r="B107" s="27">
        <f t="shared" si="73"/>
        <v>119.75552265810882</v>
      </c>
      <c r="C107">
        <f t="shared" si="74"/>
        <v>120</v>
      </c>
      <c r="D107">
        <f t="shared" si="75"/>
        <v>241</v>
      </c>
      <c r="E107">
        <f t="shared" si="76"/>
        <v>417</v>
      </c>
      <c r="F107">
        <f t="shared" si="77"/>
        <v>50248</v>
      </c>
      <c r="G107" s="24">
        <f t="shared" si="78"/>
        <v>49956.964092439943</v>
      </c>
      <c r="H107" s="24">
        <f t="shared" si="79"/>
        <v>1.0058257324648776</v>
      </c>
      <c r="I107">
        <f t="shared" si="80"/>
        <v>209</v>
      </c>
      <c r="J107">
        <f t="shared" si="61"/>
        <v>43681</v>
      </c>
      <c r="K107" s="25">
        <f t="shared" si="60"/>
        <v>43264</v>
      </c>
      <c r="L107" s="24">
        <f t="shared" si="81"/>
        <v>1.0096384985207101</v>
      </c>
      <c r="M107">
        <f t="shared" si="82"/>
        <v>-6567</v>
      </c>
      <c r="N107" s="24">
        <f t="shared" si="83"/>
        <v>3.8127660558324727E-3</v>
      </c>
    </row>
    <row r="108" spans="1:14" x14ac:dyDescent="0.25">
      <c r="A108">
        <v>105</v>
      </c>
      <c r="B108" s="27">
        <f t="shared" si="73"/>
        <v>120.91022319648806</v>
      </c>
      <c r="C108">
        <f t="shared" si="74"/>
        <v>121</v>
      </c>
      <c r="D108">
        <f t="shared" si="75"/>
        <v>243</v>
      </c>
      <c r="E108">
        <f t="shared" si="76"/>
        <v>421</v>
      </c>
      <c r="F108">
        <f t="shared" si="77"/>
        <v>51151</v>
      </c>
      <c r="G108" s="24">
        <f t="shared" si="78"/>
        <v>50922.293742524998</v>
      </c>
      <c r="H108" s="24">
        <f t="shared" si="79"/>
        <v>1.004491279568658</v>
      </c>
      <c r="I108">
        <f t="shared" si="80"/>
        <v>211</v>
      </c>
      <c r="J108">
        <f t="shared" si="61"/>
        <v>44521</v>
      </c>
      <c r="K108" s="25">
        <f t="shared" si="60"/>
        <v>44100</v>
      </c>
      <c r="L108" s="24">
        <f t="shared" si="81"/>
        <v>1.009546485260771</v>
      </c>
      <c r="M108">
        <f t="shared" si="82"/>
        <v>-6630</v>
      </c>
      <c r="N108" s="24">
        <f t="shared" si="83"/>
        <v>5.0552056921129296E-3</v>
      </c>
    </row>
    <row r="109" spans="1:14" x14ac:dyDescent="0.25">
      <c r="A109">
        <v>106</v>
      </c>
      <c r="B109" s="27">
        <f t="shared" si="73"/>
        <v>122.06492373486732</v>
      </c>
      <c r="C109">
        <f t="shared" si="74"/>
        <v>123</v>
      </c>
      <c r="D109">
        <f t="shared" si="75"/>
        <v>247</v>
      </c>
      <c r="E109">
        <f t="shared" si="76"/>
        <v>425</v>
      </c>
      <c r="F109">
        <f t="shared" si="77"/>
        <v>52487</v>
      </c>
      <c r="G109" s="24">
        <f t="shared" si="78"/>
        <v>51896.860996917087</v>
      </c>
      <c r="H109" s="24">
        <f t="shared" si="79"/>
        <v>1.0113713814621268</v>
      </c>
      <c r="I109">
        <f t="shared" si="80"/>
        <v>213</v>
      </c>
      <c r="J109">
        <f t="shared" si="61"/>
        <v>45369</v>
      </c>
      <c r="K109" s="25">
        <f t="shared" si="60"/>
        <v>44944</v>
      </c>
      <c r="L109" s="24">
        <f t="shared" si="81"/>
        <v>1.0094562121751514</v>
      </c>
      <c r="M109">
        <f t="shared" si="82"/>
        <v>-7118</v>
      </c>
      <c r="N109" s="24">
        <f t="shared" si="83"/>
        <v>-1.9151692869754378E-3</v>
      </c>
    </row>
    <row r="110" spans="1:14" x14ac:dyDescent="0.25">
      <c r="A110">
        <v>107</v>
      </c>
      <c r="B110" s="27">
        <f t="shared" si="73"/>
        <v>123.21962427324657</v>
      </c>
      <c r="C110">
        <f t="shared" si="74"/>
        <v>124</v>
      </c>
      <c r="D110">
        <f t="shared" si="75"/>
        <v>249</v>
      </c>
      <c r="E110">
        <f t="shared" si="76"/>
        <v>429</v>
      </c>
      <c r="F110">
        <f t="shared" si="77"/>
        <v>53410</v>
      </c>
      <c r="G110" s="24">
        <f t="shared" si="78"/>
        <v>52880.665855616207</v>
      </c>
      <c r="H110" s="24">
        <f t="shared" si="79"/>
        <v>1.0100099750224225</v>
      </c>
      <c r="I110">
        <f t="shared" si="80"/>
        <v>215</v>
      </c>
      <c r="J110">
        <f t="shared" si="61"/>
        <v>46225</v>
      </c>
      <c r="K110" s="25">
        <f t="shared" si="60"/>
        <v>45796</v>
      </c>
      <c r="L110" s="24">
        <f t="shared" si="81"/>
        <v>1.0093676303607302</v>
      </c>
      <c r="M110">
        <f t="shared" si="82"/>
        <v>-7185</v>
      </c>
      <c r="N110" s="24">
        <f t="shared" si="83"/>
        <v>-6.4234466169232896E-4</v>
      </c>
    </row>
    <row r="111" spans="1:14" x14ac:dyDescent="0.25">
      <c r="A111">
        <v>108</v>
      </c>
      <c r="B111" s="27">
        <f t="shared" si="73"/>
        <v>124.37432481162581</v>
      </c>
      <c r="C111">
        <f t="shared" si="74"/>
        <v>125</v>
      </c>
      <c r="D111">
        <f t="shared" si="75"/>
        <v>251</v>
      </c>
      <c r="E111">
        <f t="shared" si="76"/>
        <v>433</v>
      </c>
      <c r="F111">
        <f t="shared" si="77"/>
        <v>54341</v>
      </c>
      <c r="G111" s="24">
        <f t="shared" si="78"/>
        <v>53873.708318622361</v>
      </c>
      <c r="H111" s="24">
        <f t="shared" si="79"/>
        <v>1.0086738354563225</v>
      </c>
      <c r="I111">
        <f t="shared" si="80"/>
        <v>217</v>
      </c>
      <c r="J111">
        <f t="shared" si="61"/>
        <v>47089</v>
      </c>
      <c r="K111" s="25">
        <f t="shared" si="60"/>
        <v>46656</v>
      </c>
      <c r="L111" s="24">
        <f t="shared" si="81"/>
        <v>1.0092806927297668</v>
      </c>
      <c r="M111">
        <f t="shared" si="82"/>
        <v>-7252</v>
      </c>
      <c r="N111" s="24">
        <f t="shared" si="83"/>
        <v>6.0685727344433893E-4</v>
      </c>
    </row>
    <row r="112" spans="1:14" x14ac:dyDescent="0.25">
      <c r="A112">
        <v>109</v>
      </c>
      <c r="B112" s="27">
        <f t="shared" si="73"/>
        <v>125.52902535000509</v>
      </c>
      <c r="C112">
        <f t="shared" si="74"/>
        <v>126</v>
      </c>
      <c r="D112">
        <f t="shared" si="75"/>
        <v>253</v>
      </c>
      <c r="E112">
        <f t="shared" si="76"/>
        <v>437</v>
      </c>
      <c r="F112">
        <f t="shared" si="77"/>
        <v>55280</v>
      </c>
      <c r="G112" s="24">
        <f t="shared" si="78"/>
        <v>54875.988385935554</v>
      </c>
      <c r="H112" s="24">
        <f t="shared" si="79"/>
        <v>1.0073622658278716</v>
      </c>
      <c r="I112">
        <f t="shared" si="80"/>
        <v>219</v>
      </c>
      <c r="J112">
        <f t="shared" si="61"/>
        <v>47961</v>
      </c>
      <c r="K112" s="25">
        <f t="shared" si="60"/>
        <v>47524</v>
      </c>
      <c r="L112" s="24">
        <f t="shared" si="81"/>
        <v>1.0091953539264371</v>
      </c>
      <c r="M112">
        <f t="shared" si="82"/>
        <v>-7319</v>
      </c>
      <c r="N112" s="24">
        <f t="shared" si="83"/>
        <v>1.8330880985655273E-3</v>
      </c>
    </row>
    <row r="113" spans="1:14" x14ac:dyDescent="0.25">
      <c r="A113">
        <v>110</v>
      </c>
      <c r="B113" s="27">
        <f t="shared" si="73"/>
        <v>126.68372588838433</v>
      </c>
      <c r="C113">
        <f t="shared" si="74"/>
        <v>127</v>
      </c>
      <c r="D113">
        <f t="shared" si="75"/>
        <v>255</v>
      </c>
      <c r="E113">
        <f t="shared" si="76"/>
        <v>441</v>
      </c>
      <c r="F113">
        <f t="shared" si="77"/>
        <v>56227</v>
      </c>
      <c r="G113" s="24">
        <f t="shared" si="78"/>
        <v>55887.50605755578</v>
      </c>
      <c r="H113" s="24">
        <f t="shared" si="79"/>
        <v>1.006074594598918</v>
      </c>
      <c r="I113">
        <f t="shared" si="80"/>
        <v>221</v>
      </c>
      <c r="J113">
        <f t="shared" si="61"/>
        <v>48841</v>
      </c>
      <c r="K113" s="25">
        <f t="shared" si="60"/>
        <v>48400</v>
      </c>
      <c r="L113" s="24">
        <f t="shared" si="81"/>
        <v>1.0091115702479339</v>
      </c>
      <c r="M113">
        <f t="shared" si="82"/>
        <v>-7386</v>
      </c>
      <c r="N113" s="24">
        <f t="shared" si="83"/>
        <v>3.0369756490158384E-3</v>
      </c>
    </row>
    <row r="114" spans="1:14" x14ac:dyDescent="0.25">
      <c r="A114">
        <v>111</v>
      </c>
      <c r="B114" s="27">
        <f t="shared" si="73"/>
        <v>127.83842642676356</v>
      </c>
      <c r="C114">
        <f t="shared" si="74"/>
        <v>128</v>
      </c>
      <c r="D114">
        <f t="shared" si="75"/>
        <v>257</v>
      </c>
      <c r="E114">
        <f t="shared" si="76"/>
        <v>445</v>
      </c>
      <c r="F114">
        <f t="shared" si="77"/>
        <v>57182</v>
      </c>
      <c r="G114" s="24">
        <f t="shared" si="78"/>
        <v>56908.261333483038</v>
      </c>
      <c r="H114" s="24">
        <f t="shared" si="79"/>
        <v>1.0048101744826266</v>
      </c>
      <c r="I114">
        <f t="shared" si="80"/>
        <v>223</v>
      </c>
      <c r="J114">
        <f t="shared" si="61"/>
        <v>49729</v>
      </c>
      <c r="K114" s="25">
        <f t="shared" si="60"/>
        <v>49284</v>
      </c>
      <c r="L114" s="24">
        <f t="shared" si="81"/>
        <v>1.0090292995698402</v>
      </c>
      <c r="M114">
        <f t="shared" si="82"/>
        <v>-7453</v>
      </c>
      <c r="N114" s="24">
        <f t="shared" si="83"/>
        <v>4.219125087213671E-3</v>
      </c>
    </row>
    <row r="115" spans="1:14" x14ac:dyDescent="0.25">
      <c r="A115">
        <v>112</v>
      </c>
      <c r="B115" s="27">
        <f t="shared" si="73"/>
        <v>128.99312696514284</v>
      </c>
      <c r="C115">
        <f t="shared" si="74"/>
        <v>129</v>
      </c>
      <c r="D115">
        <f t="shared" si="75"/>
        <v>259</v>
      </c>
      <c r="E115">
        <f t="shared" si="76"/>
        <v>449</v>
      </c>
      <c r="F115">
        <f t="shared" si="77"/>
        <v>58145</v>
      </c>
      <c r="G115" s="24">
        <f t="shared" si="78"/>
        <v>57938.25421371733</v>
      </c>
      <c r="H115" s="24">
        <f t="shared" si="79"/>
        <v>1.0035683813585417</v>
      </c>
      <c r="I115">
        <f t="shared" si="80"/>
        <v>225</v>
      </c>
      <c r="J115">
        <f t="shared" si="61"/>
        <v>50625</v>
      </c>
      <c r="K115" s="25">
        <f t="shared" si="60"/>
        <v>50176</v>
      </c>
      <c r="L115" s="24">
        <f t="shared" si="81"/>
        <v>1.0089485012755102</v>
      </c>
      <c r="M115">
        <f t="shared" si="82"/>
        <v>-7520</v>
      </c>
      <c r="N115" s="24">
        <f t="shared" si="83"/>
        <v>5.3801199169685177E-3</v>
      </c>
    </row>
    <row r="116" spans="1:14" x14ac:dyDescent="0.25">
      <c r="A116">
        <v>113</v>
      </c>
      <c r="B116" s="27">
        <f t="shared" si="73"/>
        <v>130.14782750352208</v>
      </c>
      <c r="C116">
        <f t="shared" si="74"/>
        <v>131</v>
      </c>
      <c r="D116">
        <f t="shared" si="75"/>
        <v>263</v>
      </c>
      <c r="E116">
        <f t="shared" si="76"/>
        <v>453</v>
      </c>
      <c r="F116">
        <f t="shared" si="77"/>
        <v>59569</v>
      </c>
      <c r="G116" s="24">
        <f t="shared" si="78"/>
        <v>58977.484698258653</v>
      </c>
      <c r="H116" s="24">
        <f t="shared" si="79"/>
        <v>1.0100295104948551</v>
      </c>
      <c r="I116">
        <f t="shared" si="80"/>
        <v>227</v>
      </c>
      <c r="J116">
        <f t="shared" si="61"/>
        <v>51529</v>
      </c>
      <c r="K116" s="25">
        <f t="shared" si="60"/>
        <v>51076</v>
      </c>
      <c r="L116" s="24">
        <f t="shared" si="81"/>
        <v>1.0088691361892081</v>
      </c>
      <c r="M116">
        <f t="shared" si="82"/>
        <v>-8040</v>
      </c>
      <c r="N116" s="24">
        <f t="shared" si="83"/>
        <v>-1.1603743056469717E-3</v>
      </c>
    </row>
    <row r="117" spans="1:14" x14ac:dyDescent="0.25">
      <c r="A117">
        <v>114</v>
      </c>
      <c r="B117" s="27">
        <f t="shared" si="73"/>
        <v>131.30252804190133</v>
      </c>
      <c r="C117">
        <f t="shared" si="74"/>
        <v>132</v>
      </c>
      <c r="D117">
        <f t="shared" si="75"/>
        <v>265</v>
      </c>
      <c r="E117">
        <f t="shared" si="76"/>
        <v>457</v>
      </c>
      <c r="F117">
        <f t="shared" si="77"/>
        <v>60552</v>
      </c>
      <c r="G117" s="24">
        <f t="shared" si="78"/>
        <v>60025.952787107017</v>
      </c>
      <c r="H117" s="24">
        <f t="shared" si="79"/>
        <v>1.008763662856943</v>
      </c>
      <c r="I117">
        <f t="shared" si="80"/>
        <v>229</v>
      </c>
      <c r="J117">
        <f t="shared" si="61"/>
        <v>52441</v>
      </c>
      <c r="K117" s="25">
        <f t="shared" si="60"/>
        <v>51984</v>
      </c>
      <c r="L117" s="24">
        <f t="shared" si="81"/>
        <v>1.0087911665127731</v>
      </c>
      <c r="M117">
        <f t="shared" si="82"/>
        <v>-8111</v>
      </c>
      <c r="N117" s="24">
        <f t="shared" si="83"/>
        <v>2.750365583015224E-5</v>
      </c>
    </row>
    <row r="118" spans="1:14" x14ac:dyDescent="0.25">
      <c r="A118">
        <v>115</v>
      </c>
      <c r="B118" s="27">
        <f t="shared" si="73"/>
        <v>132.4572285802806</v>
      </c>
      <c r="C118">
        <f t="shared" si="74"/>
        <v>133</v>
      </c>
      <c r="D118">
        <f t="shared" si="75"/>
        <v>267</v>
      </c>
      <c r="E118">
        <f t="shared" si="76"/>
        <v>461</v>
      </c>
      <c r="F118">
        <f t="shared" si="77"/>
        <v>61543</v>
      </c>
      <c r="G118" s="24">
        <f t="shared" si="78"/>
        <v>61083.658480262413</v>
      </c>
      <c r="H118" s="24">
        <f t="shared" si="79"/>
        <v>1.0075198757108828</v>
      </c>
      <c r="I118">
        <f t="shared" si="80"/>
        <v>231</v>
      </c>
      <c r="J118">
        <f t="shared" si="61"/>
        <v>53361</v>
      </c>
      <c r="K118" s="25">
        <f t="shared" si="60"/>
        <v>52900</v>
      </c>
      <c r="L118" s="24">
        <f t="shared" si="81"/>
        <v>1.0087145557655954</v>
      </c>
      <c r="M118">
        <f t="shared" si="82"/>
        <v>-8182</v>
      </c>
      <c r="N118" s="24">
        <f t="shared" si="83"/>
        <v>1.1946800547126823E-3</v>
      </c>
    </row>
    <row r="119" spans="1:14" x14ac:dyDescent="0.25">
      <c r="A119">
        <v>116</v>
      </c>
      <c r="B119" s="27">
        <f t="shared" si="73"/>
        <v>133.61192911865984</v>
      </c>
      <c r="C119">
        <f t="shared" si="74"/>
        <v>134</v>
      </c>
      <c r="D119">
        <f t="shared" si="75"/>
        <v>269</v>
      </c>
      <c r="E119">
        <f t="shared" si="76"/>
        <v>465</v>
      </c>
      <c r="F119">
        <f t="shared" si="77"/>
        <v>62542</v>
      </c>
      <c r="G119" s="24">
        <f t="shared" si="78"/>
        <v>62150.601777724834</v>
      </c>
      <c r="H119" s="24">
        <f t="shared" si="79"/>
        <v>1.0062975773537151</v>
      </c>
      <c r="I119">
        <f t="shared" si="80"/>
        <v>233</v>
      </c>
      <c r="J119">
        <f t="shared" si="61"/>
        <v>54289</v>
      </c>
      <c r="K119" s="25">
        <f t="shared" si="60"/>
        <v>53824</v>
      </c>
      <c r="L119" s="24">
        <f t="shared" si="81"/>
        <v>1.008639268727705</v>
      </c>
      <c r="M119">
        <f t="shared" si="82"/>
        <v>-8253</v>
      </c>
      <c r="N119" s="24">
        <f t="shared" si="83"/>
        <v>2.3416913739899847E-3</v>
      </c>
    </row>
    <row r="120" spans="1:14" x14ac:dyDescent="0.25">
      <c r="A120">
        <v>117</v>
      </c>
      <c r="B120" s="27">
        <f t="shared" si="73"/>
        <v>134.76662965703909</v>
      </c>
      <c r="C120">
        <f t="shared" si="74"/>
        <v>135</v>
      </c>
      <c r="D120">
        <f t="shared" si="75"/>
        <v>271</v>
      </c>
      <c r="E120">
        <f t="shared" si="76"/>
        <v>469</v>
      </c>
      <c r="F120">
        <f t="shared" si="77"/>
        <v>63549</v>
      </c>
      <c r="G120" s="24">
        <f t="shared" si="78"/>
        <v>63226.782679494303</v>
      </c>
      <c r="H120" s="24">
        <f t="shared" si="79"/>
        <v>1.0050962156676397</v>
      </c>
      <c r="I120">
        <f t="shared" si="80"/>
        <v>235</v>
      </c>
      <c r="J120">
        <f t="shared" si="61"/>
        <v>55225</v>
      </c>
      <c r="K120" s="25">
        <f t="shared" si="60"/>
        <v>54756</v>
      </c>
      <c r="L120" s="24">
        <f t="shared" si="81"/>
        <v>1.0085652713857842</v>
      </c>
      <c r="M120">
        <f t="shared" si="82"/>
        <v>-8324</v>
      </c>
      <c r="N120" s="24">
        <f t="shared" si="83"/>
        <v>3.469055718144487E-3</v>
      </c>
    </row>
    <row r="121" spans="1:14" x14ac:dyDescent="0.25">
      <c r="A121">
        <v>118</v>
      </c>
      <c r="B121" s="27">
        <f t="shared" si="73"/>
        <v>135.92133019541834</v>
      </c>
      <c r="C121">
        <f t="shared" si="74"/>
        <v>136</v>
      </c>
      <c r="D121">
        <f t="shared" si="75"/>
        <v>273</v>
      </c>
      <c r="E121">
        <f t="shared" si="76"/>
        <v>473</v>
      </c>
      <c r="F121">
        <f t="shared" si="77"/>
        <v>64564</v>
      </c>
      <c r="G121" s="24">
        <f t="shared" si="78"/>
        <v>64312.201185570797</v>
      </c>
      <c r="H121" s="24">
        <f t="shared" si="79"/>
        <v>1.0039152572884675</v>
      </c>
      <c r="I121">
        <f t="shared" si="80"/>
        <v>237</v>
      </c>
      <c r="J121">
        <f t="shared" si="61"/>
        <v>56169</v>
      </c>
      <c r="K121" s="25">
        <f t="shared" si="60"/>
        <v>55696</v>
      </c>
      <c r="L121" s="24">
        <f t="shared" si="81"/>
        <v>1.0084925308819306</v>
      </c>
      <c r="M121">
        <f t="shared" si="82"/>
        <v>-8395</v>
      </c>
      <c r="N121" s="24">
        <f t="shared" si="83"/>
        <v>4.5772735934630493E-3</v>
      </c>
    </row>
    <row r="122" spans="1:14" x14ac:dyDescent="0.25">
      <c r="A122">
        <v>119</v>
      </c>
      <c r="B122" s="27">
        <f t="shared" si="73"/>
        <v>137.07603073379758</v>
      </c>
      <c r="C122">
        <f t="shared" si="74"/>
        <v>138</v>
      </c>
      <c r="D122">
        <f t="shared" si="75"/>
        <v>277</v>
      </c>
      <c r="E122">
        <f t="shared" si="76"/>
        <v>477</v>
      </c>
      <c r="F122">
        <f t="shared" si="77"/>
        <v>66064</v>
      </c>
      <c r="G122" s="24">
        <f t="shared" si="78"/>
        <v>65406.857295954331</v>
      </c>
      <c r="H122" s="24">
        <f t="shared" si="79"/>
        <v>1.0100470001344388</v>
      </c>
      <c r="I122">
        <f t="shared" si="80"/>
        <v>239</v>
      </c>
      <c r="J122">
        <f t="shared" si="61"/>
        <v>57121</v>
      </c>
      <c r="K122" s="25">
        <f t="shared" si="60"/>
        <v>56644</v>
      </c>
      <c r="L122" s="24">
        <f t="shared" si="81"/>
        <v>1.0084210154650095</v>
      </c>
      <c r="M122">
        <f t="shared" si="82"/>
        <v>-8943</v>
      </c>
      <c r="N122" s="24">
        <f t="shared" si="83"/>
        <v>-1.6259846694293145E-3</v>
      </c>
    </row>
    <row r="123" spans="1:14" x14ac:dyDescent="0.25">
      <c r="A123">
        <v>120</v>
      </c>
      <c r="B123" s="27">
        <f t="shared" si="73"/>
        <v>138.23073127217683</v>
      </c>
      <c r="C123">
        <f t="shared" si="74"/>
        <v>139</v>
      </c>
      <c r="D123">
        <f t="shared" si="75"/>
        <v>279</v>
      </c>
      <c r="E123">
        <f t="shared" si="76"/>
        <v>481</v>
      </c>
      <c r="F123">
        <f t="shared" si="77"/>
        <v>67099</v>
      </c>
      <c r="G123" s="24">
        <f t="shared" si="78"/>
        <v>66510.75101064489</v>
      </c>
      <c r="H123" s="24">
        <f t="shared" si="79"/>
        <v>1.0088444195925703</v>
      </c>
      <c r="I123">
        <f t="shared" si="80"/>
        <v>241</v>
      </c>
      <c r="J123">
        <f t="shared" si="61"/>
        <v>58081</v>
      </c>
      <c r="K123" s="25">
        <f t="shared" si="60"/>
        <v>57600</v>
      </c>
      <c r="L123" s="24">
        <f t="shared" si="81"/>
        <v>1.0083506944444445</v>
      </c>
      <c r="M123">
        <f t="shared" si="82"/>
        <v>-9018</v>
      </c>
      <c r="N123" s="24">
        <f t="shared" si="83"/>
        <v>-4.9372514812584534E-4</v>
      </c>
    </row>
    <row r="124" spans="1:14" x14ac:dyDescent="0.25">
      <c r="A124">
        <v>121</v>
      </c>
      <c r="B124" s="27">
        <f t="shared" si="73"/>
        <v>139.3854318105561</v>
      </c>
      <c r="C124">
        <f t="shared" si="74"/>
        <v>140</v>
      </c>
      <c r="D124">
        <f t="shared" si="75"/>
        <v>281</v>
      </c>
      <c r="E124">
        <f t="shared" si="76"/>
        <v>485</v>
      </c>
      <c r="F124">
        <f t="shared" si="77"/>
        <v>68142</v>
      </c>
      <c r="G124" s="24">
        <f t="shared" si="78"/>
        <v>67623.882329642496</v>
      </c>
      <c r="H124" s="24">
        <f t="shared" si="79"/>
        <v>1.0076617557659862</v>
      </c>
      <c r="I124">
        <f t="shared" si="80"/>
        <v>243</v>
      </c>
      <c r="J124">
        <f t="shared" si="61"/>
        <v>59049</v>
      </c>
      <c r="K124" s="25">
        <f t="shared" si="60"/>
        <v>58564</v>
      </c>
      <c r="L124" s="24">
        <f t="shared" si="81"/>
        <v>1.0082815381463015</v>
      </c>
      <c r="M124">
        <f t="shared" si="82"/>
        <v>-9093</v>
      </c>
      <c r="N124" s="24">
        <f t="shared" si="83"/>
        <v>6.1978238031534794E-4</v>
      </c>
    </row>
    <row r="125" spans="1:14" x14ac:dyDescent="0.25">
      <c r="A125">
        <v>122</v>
      </c>
      <c r="B125" s="27">
        <f t="shared" si="73"/>
        <v>140.54013234893534</v>
      </c>
      <c r="C125">
        <f t="shared" si="74"/>
        <v>141</v>
      </c>
      <c r="D125">
        <f t="shared" si="75"/>
        <v>283</v>
      </c>
      <c r="E125">
        <f t="shared" si="76"/>
        <v>489</v>
      </c>
      <c r="F125">
        <f t="shared" si="77"/>
        <v>69193</v>
      </c>
      <c r="G125" s="24">
        <f t="shared" si="78"/>
        <v>68746.251252947128</v>
      </c>
      <c r="H125" s="24">
        <f t="shared" si="79"/>
        <v>1.0064985179396777</v>
      </c>
      <c r="I125">
        <f t="shared" si="80"/>
        <v>245</v>
      </c>
      <c r="J125">
        <f t="shared" si="61"/>
        <v>60025</v>
      </c>
      <c r="K125" s="25">
        <f t="shared" si="60"/>
        <v>59536</v>
      </c>
      <c r="L125" s="24">
        <f t="shared" si="81"/>
        <v>1.0082135178715399</v>
      </c>
      <c r="M125">
        <f t="shared" si="82"/>
        <v>-9168</v>
      </c>
      <c r="N125" s="24">
        <f t="shared" si="83"/>
        <v>1.7149999318621933E-3</v>
      </c>
    </row>
    <row r="126" spans="1:14" x14ac:dyDescent="0.25">
      <c r="A126">
        <v>123</v>
      </c>
      <c r="B126" s="27">
        <f t="shared" si="73"/>
        <v>141.69483288731459</v>
      </c>
      <c r="C126">
        <f t="shared" si="74"/>
        <v>142</v>
      </c>
      <c r="D126">
        <f t="shared" si="75"/>
        <v>285</v>
      </c>
      <c r="E126">
        <f t="shared" si="76"/>
        <v>493</v>
      </c>
      <c r="F126">
        <f t="shared" si="77"/>
        <v>70252</v>
      </c>
      <c r="G126" s="24">
        <f t="shared" si="78"/>
        <v>69877.857780558785</v>
      </c>
      <c r="H126" s="24">
        <f t="shared" si="79"/>
        <v>1.0053542313878046</v>
      </c>
      <c r="I126">
        <f t="shared" si="80"/>
        <v>247</v>
      </c>
      <c r="J126">
        <f t="shared" si="61"/>
        <v>61009</v>
      </c>
      <c r="K126" s="25">
        <f t="shared" si="60"/>
        <v>60516</v>
      </c>
      <c r="L126" s="24">
        <f t="shared" si="81"/>
        <v>1.0081466058563024</v>
      </c>
      <c r="M126">
        <f t="shared" si="82"/>
        <v>-9243</v>
      </c>
      <c r="N126" s="24">
        <f t="shared" si="83"/>
        <v>2.7923744684978935E-3</v>
      </c>
    </row>
    <row r="127" spans="1:14" x14ac:dyDescent="0.25">
      <c r="A127">
        <v>124</v>
      </c>
      <c r="B127" s="27">
        <f t="shared" si="73"/>
        <v>142.84953342569386</v>
      </c>
      <c r="C127">
        <f t="shared" si="74"/>
        <v>143</v>
      </c>
      <c r="D127">
        <f t="shared" si="75"/>
        <v>287</v>
      </c>
      <c r="E127">
        <f t="shared" si="76"/>
        <v>497</v>
      </c>
      <c r="F127">
        <f t="shared" si="77"/>
        <v>71319</v>
      </c>
      <c r="G127" s="24">
        <f t="shared" si="78"/>
        <v>71018.701912477496</v>
      </c>
      <c r="H127" s="24">
        <f t="shared" si="79"/>
        <v>1.004228436727731</v>
      </c>
      <c r="I127">
        <f t="shared" si="80"/>
        <v>249</v>
      </c>
      <c r="J127">
        <f t="shared" si="61"/>
        <v>62001</v>
      </c>
      <c r="K127" s="25">
        <f t="shared" si="60"/>
        <v>61504</v>
      </c>
      <c r="L127" s="24">
        <f t="shared" si="81"/>
        <v>1.0080807752341312</v>
      </c>
      <c r="M127">
        <f t="shared" si="82"/>
        <v>-9318</v>
      </c>
      <c r="N127" s="24">
        <f t="shared" si="83"/>
        <v>3.8523385064002102E-3</v>
      </c>
    </row>
    <row r="128" spans="1:14" x14ac:dyDescent="0.25">
      <c r="A128">
        <v>125</v>
      </c>
      <c r="B128" s="27">
        <f t="shared" si="73"/>
        <v>144.00423396407311</v>
      </c>
      <c r="C128">
        <f t="shared" si="74"/>
        <v>145</v>
      </c>
      <c r="D128">
        <f t="shared" si="75"/>
        <v>291</v>
      </c>
      <c r="E128">
        <f t="shared" si="76"/>
        <v>501</v>
      </c>
      <c r="F128">
        <f t="shared" si="77"/>
        <v>72895</v>
      </c>
      <c r="G128" s="24">
        <f t="shared" si="78"/>
        <v>72168.783648703218</v>
      </c>
      <c r="H128" s="24">
        <f t="shared" si="79"/>
        <v>1.0100627489418665</v>
      </c>
      <c r="I128">
        <f t="shared" si="80"/>
        <v>251</v>
      </c>
      <c r="J128">
        <f t="shared" si="61"/>
        <v>63001</v>
      </c>
      <c r="K128" s="25">
        <f t="shared" si="60"/>
        <v>62500</v>
      </c>
      <c r="L128" s="24">
        <f t="shared" si="81"/>
        <v>1.008016</v>
      </c>
      <c r="M128">
        <f t="shared" si="82"/>
        <v>-9894</v>
      </c>
      <c r="N128" s="24">
        <f t="shared" si="83"/>
        <v>-2.0467489418665163E-3</v>
      </c>
    </row>
    <row r="129" spans="1:14" x14ac:dyDescent="0.25">
      <c r="A129">
        <v>126</v>
      </c>
      <c r="B129" s="27">
        <f t="shared" si="73"/>
        <v>145.15893450245235</v>
      </c>
      <c r="C129">
        <f t="shared" si="74"/>
        <v>146</v>
      </c>
      <c r="D129">
        <f t="shared" si="75"/>
        <v>293</v>
      </c>
      <c r="E129">
        <f t="shared" si="76"/>
        <v>505</v>
      </c>
      <c r="F129">
        <f t="shared" si="77"/>
        <v>73982</v>
      </c>
      <c r="G129" s="24">
        <f t="shared" si="78"/>
        <v>73328.102989235995</v>
      </c>
      <c r="H129" s="24">
        <f t="shared" si="79"/>
        <v>1.0089174134350645</v>
      </c>
      <c r="I129">
        <f t="shared" si="80"/>
        <v>253</v>
      </c>
      <c r="J129">
        <f t="shared" si="61"/>
        <v>64009</v>
      </c>
      <c r="K129" s="25">
        <f t="shared" si="60"/>
        <v>63504</v>
      </c>
      <c r="L129" s="24">
        <f t="shared" si="81"/>
        <v>1.0079522549760644</v>
      </c>
      <c r="M129">
        <f t="shared" si="82"/>
        <v>-9973</v>
      </c>
      <c r="N129" s="24">
        <f t="shared" si="83"/>
        <v>-9.6515845900002617E-4</v>
      </c>
    </row>
    <row r="130" spans="1:14" x14ac:dyDescent="0.25">
      <c r="A130">
        <v>127</v>
      </c>
      <c r="B130" s="27">
        <f t="shared" si="73"/>
        <v>146.3136350408316</v>
      </c>
      <c r="C130">
        <f t="shared" si="74"/>
        <v>147</v>
      </c>
      <c r="D130">
        <f t="shared" si="75"/>
        <v>295</v>
      </c>
      <c r="E130">
        <f t="shared" si="76"/>
        <v>509</v>
      </c>
      <c r="F130">
        <f t="shared" si="77"/>
        <v>75077</v>
      </c>
      <c r="G130" s="24">
        <f t="shared" si="78"/>
        <v>74496.659934075797</v>
      </c>
      <c r="H130" s="24">
        <f t="shared" si="79"/>
        <v>1.0077901487991241</v>
      </c>
      <c r="I130">
        <f t="shared" si="80"/>
        <v>255</v>
      </c>
      <c r="J130">
        <f t="shared" si="61"/>
        <v>65025</v>
      </c>
      <c r="K130" s="25">
        <f t="shared" si="60"/>
        <v>64516</v>
      </c>
      <c r="L130" s="24">
        <f t="shared" si="81"/>
        <v>1.0078895157790315</v>
      </c>
      <c r="M130">
        <f t="shared" si="82"/>
        <v>-10052</v>
      </c>
      <c r="N130" s="24">
        <f t="shared" si="83"/>
        <v>9.9366979907422603E-5</v>
      </c>
    </row>
    <row r="131" spans="1:14" x14ac:dyDescent="0.25">
      <c r="A131">
        <v>128</v>
      </c>
      <c r="B131" s="27">
        <f t="shared" si="73"/>
        <v>147.46833557921084</v>
      </c>
      <c r="C131">
        <f t="shared" si="74"/>
        <v>148</v>
      </c>
      <c r="D131">
        <f t="shared" si="75"/>
        <v>297</v>
      </c>
      <c r="E131">
        <f t="shared" si="76"/>
        <v>513</v>
      </c>
      <c r="F131">
        <f t="shared" si="77"/>
        <v>76180</v>
      </c>
      <c r="G131" s="24">
        <f t="shared" si="78"/>
        <v>75674.454483222638</v>
      </c>
      <c r="H131" s="24">
        <f t="shared" si="79"/>
        <v>1.0066805307052387</v>
      </c>
      <c r="I131">
        <f t="shared" si="80"/>
        <v>257</v>
      </c>
      <c r="J131">
        <f t="shared" si="61"/>
        <v>66049</v>
      </c>
      <c r="K131" s="25">
        <f t="shared" si="60"/>
        <v>65536</v>
      </c>
      <c r="L131" s="24">
        <f t="shared" si="81"/>
        <v>1.0078277587890625</v>
      </c>
      <c r="M131">
        <f t="shared" si="82"/>
        <v>-10131</v>
      </c>
      <c r="N131" s="24">
        <f t="shared" si="83"/>
        <v>1.1472280838238369E-3</v>
      </c>
    </row>
    <row r="132" spans="1:14" x14ac:dyDescent="0.25">
      <c r="A132">
        <v>129</v>
      </c>
      <c r="B132" s="27">
        <f t="shared" si="73"/>
        <v>148.62303611759009</v>
      </c>
      <c r="C132">
        <f t="shared" si="74"/>
        <v>149</v>
      </c>
      <c r="D132">
        <f t="shared" si="75"/>
        <v>299</v>
      </c>
      <c r="E132">
        <f t="shared" si="76"/>
        <v>517</v>
      </c>
      <c r="F132">
        <f t="shared" si="77"/>
        <v>77291</v>
      </c>
      <c r="G132" s="24">
        <f t="shared" si="78"/>
        <v>76861.486636676505</v>
      </c>
      <c r="H132" s="24">
        <f t="shared" si="79"/>
        <v>1.0055881480064757</v>
      </c>
      <c r="I132">
        <f t="shared" si="80"/>
        <v>259</v>
      </c>
      <c r="J132">
        <f t="shared" si="61"/>
        <v>67081</v>
      </c>
      <c r="K132" s="25">
        <f t="shared" si="60"/>
        <v>66564</v>
      </c>
      <c r="L132" s="24">
        <f t="shared" si="81"/>
        <v>1.007766961120125</v>
      </c>
      <c r="M132">
        <f t="shared" si="82"/>
        <v>-10210</v>
      </c>
      <c r="N132" s="24">
        <f t="shared" si="83"/>
        <v>2.1788131136493138E-3</v>
      </c>
    </row>
    <row r="133" spans="1:14" x14ac:dyDescent="0.25">
      <c r="A133">
        <v>130</v>
      </c>
      <c r="B133" s="27">
        <f t="shared" si="73"/>
        <v>149.77773665596936</v>
      </c>
      <c r="C133">
        <f t="shared" si="74"/>
        <v>150</v>
      </c>
      <c r="D133">
        <f t="shared" si="75"/>
        <v>301</v>
      </c>
      <c r="E133">
        <f t="shared" si="76"/>
        <v>521</v>
      </c>
      <c r="F133">
        <f t="shared" si="77"/>
        <v>78410</v>
      </c>
      <c r="G133" s="24">
        <f t="shared" si="78"/>
        <v>78057.756394437412</v>
      </c>
      <c r="H133" s="24">
        <f t="shared" si="79"/>
        <v>1.0045126022298494</v>
      </c>
      <c r="I133">
        <f t="shared" si="80"/>
        <v>261</v>
      </c>
      <c r="J133">
        <f t="shared" si="61"/>
        <v>68121</v>
      </c>
      <c r="K133" s="25">
        <f t="shared" ref="K133:K196" si="84">(2*$A133)*(2*$A133)/K$2</f>
        <v>67600</v>
      </c>
      <c r="L133" s="24">
        <f t="shared" si="81"/>
        <v>1.007707100591716</v>
      </c>
      <c r="M133">
        <f t="shared" si="82"/>
        <v>-10289</v>
      </c>
      <c r="N133" s="24">
        <f t="shared" si="83"/>
        <v>3.1944983618665823E-3</v>
      </c>
    </row>
    <row r="134" spans="1:14" x14ac:dyDescent="0.25">
      <c r="A134">
        <v>131</v>
      </c>
      <c r="B134" s="27">
        <f t="shared" si="73"/>
        <v>150.93243719434861</v>
      </c>
      <c r="C134">
        <f t="shared" si="74"/>
        <v>151</v>
      </c>
      <c r="D134">
        <f t="shared" si="75"/>
        <v>303</v>
      </c>
      <c r="E134">
        <f t="shared" si="76"/>
        <v>525</v>
      </c>
      <c r="F134">
        <f t="shared" si="77"/>
        <v>79537</v>
      </c>
      <c r="G134" s="24">
        <f t="shared" si="78"/>
        <v>79263.263756505345</v>
      </c>
      <c r="H134" s="24">
        <f t="shared" si="79"/>
        <v>1.0034535070917034</v>
      </c>
      <c r="I134">
        <f t="shared" si="80"/>
        <v>263</v>
      </c>
      <c r="J134">
        <f t="shared" si="61"/>
        <v>69169</v>
      </c>
      <c r="K134" s="25">
        <f t="shared" si="84"/>
        <v>68644</v>
      </c>
      <c r="L134" s="24">
        <f t="shared" si="81"/>
        <v>1.0076481557018822</v>
      </c>
      <c r="M134">
        <f t="shared" si="82"/>
        <v>-10368</v>
      </c>
      <c r="N134" s="24">
        <f t="shared" si="83"/>
        <v>4.1946486101787084E-3</v>
      </c>
    </row>
    <row r="135" spans="1:14" x14ac:dyDescent="0.25">
      <c r="A135">
        <v>132</v>
      </c>
      <c r="B135" s="27">
        <f t="shared" si="73"/>
        <v>152.08713773272785</v>
      </c>
      <c r="C135">
        <f t="shared" si="74"/>
        <v>153</v>
      </c>
      <c r="D135">
        <f t="shared" si="75"/>
        <v>307</v>
      </c>
      <c r="E135">
        <f t="shared" si="76"/>
        <v>529</v>
      </c>
      <c r="F135">
        <f t="shared" si="77"/>
        <v>81201</v>
      </c>
      <c r="G135" s="24">
        <f t="shared" si="78"/>
        <v>80478.008722880317</v>
      </c>
      <c r="H135" s="24">
        <f t="shared" si="79"/>
        <v>1.0089837123034349</v>
      </c>
      <c r="I135">
        <f t="shared" si="80"/>
        <v>265</v>
      </c>
      <c r="J135">
        <f t="shared" si="61"/>
        <v>70225</v>
      </c>
      <c r="K135" s="25">
        <f t="shared" si="84"/>
        <v>69696</v>
      </c>
      <c r="L135" s="24">
        <f t="shared" si="81"/>
        <v>1.0075901056014693</v>
      </c>
      <c r="M135">
        <f t="shared" si="82"/>
        <v>-10976</v>
      </c>
      <c r="N135" s="24">
        <f t="shared" si="83"/>
        <v>-1.3936067019655329E-3</v>
      </c>
    </row>
    <row r="136" spans="1:14" x14ac:dyDescent="0.25">
      <c r="A136">
        <v>133</v>
      </c>
      <c r="B136" s="27">
        <f t="shared" si="73"/>
        <v>153.24183827110713</v>
      </c>
      <c r="C136">
        <f t="shared" si="74"/>
        <v>154</v>
      </c>
      <c r="D136">
        <f t="shared" si="75"/>
        <v>309</v>
      </c>
      <c r="E136">
        <f t="shared" si="76"/>
        <v>533</v>
      </c>
      <c r="F136">
        <f t="shared" si="77"/>
        <v>82348</v>
      </c>
      <c r="G136" s="24">
        <f t="shared" si="78"/>
        <v>81701.991293562329</v>
      </c>
      <c r="H136" s="24">
        <f t="shared" si="79"/>
        <v>1.0079068905936026</v>
      </c>
      <c r="I136">
        <f t="shared" si="80"/>
        <v>267</v>
      </c>
      <c r="J136">
        <f t="shared" si="61"/>
        <v>71289</v>
      </c>
      <c r="K136" s="25">
        <f t="shared" si="84"/>
        <v>70756</v>
      </c>
      <c r="L136" s="24">
        <f t="shared" si="81"/>
        <v>1.0075329300695348</v>
      </c>
      <c r="M136">
        <f t="shared" si="82"/>
        <v>-11059</v>
      </c>
      <c r="N136" s="24">
        <f t="shared" si="83"/>
        <v>-3.7396052406779567E-4</v>
      </c>
    </row>
    <row r="137" spans="1:14" x14ac:dyDescent="0.25">
      <c r="A137">
        <v>134</v>
      </c>
      <c r="B137" s="27">
        <f t="shared" si="73"/>
        <v>154.39653880948637</v>
      </c>
      <c r="C137">
        <f t="shared" si="74"/>
        <v>155</v>
      </c>
      <c r="D137">
        <f t="shared" si="75"/>
        <v>311</v>
      </c>
      <c r="E137">
        <f t="shared" si="76"/>
        <v>537</v>
      </c>
      <c r="F137">
        <f t="shared" si="77"/>
        <v>83503</v>
      </c>
      <c r="G137" s="24">
        <f t="shared" si="78"/>
        <v>82935.211468551366</v>
      </c>
      <c r="H137" s="24">
        <f t="shared" si="79"/>
        <v>1.0068461696955333</v>
      </c>
      <c r="I137">
        <f t="shared" si="80"/>
        <v>269</v>
      </c>
      <c r="J137">
        <f t="shared" si="61"/>
        <v>72361</v>
      </c>
      <c r="K137" s="25">
        <f t="shared" si="84"/>
        <v>71824</v>
      </c>
      <c r="L137" s="24">
        <f t="shared" si="81"/>
        <v>1.0074766094898642</v>
      </c>
      <c r="M137">
        <f t="shared" si="82"/>
        <v>-11142</v>
      </c>
      <c r="N137" s="24">
        <f t="shared" si="83"/>
        <v>6.304397943308615E-4</v>
      </c>
    </row>
    <row r="138" spans="1:14" x14ac:dyDescent="0.25">
      <c r="A138">
        <v>135</v>
      </c>
      <c r="B138" s="27">
        <f t="shared" si="73"/>
        <v>155.55123934786562</v>
      </c>
      <c r="C138">
        <f t="shared" si="74"/>
        <v>156</v>
      </c>
      <c r="D138">
        <f t="shared" si="75"/>
        <v>313</v>
      </c>
      <c r="E138">
        <f t="shared" si="76"/>
        <v>541</v>
      </c>
      <c r="F138">
        <f t="shared" si="77"/>
        <v>84666</v>
      </c>
      <c r="G138" s="24">
        <f t="shared" si="78"/>
        <v>84177.669247847443</v>
      </c>
      <c r="H138" s="24">
        <f t="shared" si="79"/>
        <v>1.005801191177137</v>
      </c>
      <c r="I138">
        <f t="shared" si="80"/>
        <v>271</v>
      </c>
      <c r="J138">
        <f t="shared" si="61"/>
        <v>73441</v>
      </c>
      <c r="K138" s="25">
        <f t="shared" si="84"/>
        <v>72900</v>
      </c>
      <c r="L138" s="24">
        <f t="shared" si="81"/>
        <v>1.0074211248285323</v>
      </c>
      <c r="M138">
        <f t="shared" si="82"/>
        <v>-11225</v>
      </c>
      <c r="N138" s="24">
        <f t="shared" si="83"/>
        <v>1.6199336513953444E-3</v>
      </c>
    </row>
    <row r="139" spans="1:14" x14ac:dyDescent="0.25">
      <c r="A139">
        <v>136</v>
      </c>
      <c r="B139" s="27">
        <f t="shared" si="73"/>
        <v>156.70593988624486</v>
      </c>
      <c r="C139">
        <f t="shared" si="74"/>
        <v>157</v>
      </c>
      <c r="D139">
        <f t="shared" si="75"/>
        <v>315</v>
      </c>
      <c r="E139">
        <f t="shared" si="76"/>
        <v>545</v>
      </c>
      <c r="F139">
        <f t="shared" si="77"/>
        <v>85837</v>
      </c>
      <c r="G139" s="24">
        <f t="shared" si="78"/>
        <v>85429.364631450546</v>
      </c>
      <c r="H139" s="24">
        <f t="shared" si="79"/>
        <v>1.0047716071670207</v>
      </c>
      <c r="I139">
        <f t="shared" si="80"/>
        <v>273</v>
      </c>
      <c r="J139">
        <f t="shared" si="61"/>
        <v>74529</v>
      </c>
      <c r="K139" s="25">
        <f t="shared" si="84"/>
        <v>73984</v>
      </c>
      <c r="L139" s="24">
        <f t="shared" si="81"/>
        <v>1.0073664576124568</v>
      </c>
      <c r="M139">
        <f t="shared" si="82"/>
        <v>-11308</v>
      </c>
      <c r="N139" s="24">
        <f t="shared" si="83"/>
        <v>2.5948504454360588E-3</v>
      </c>
    </row>
    <row r="140" spans="1:14" x14ac:dyDescent="0.25">
      <c r="A140">
        <v>137</v>
      </c>
      <c r="B140" s="27">
        <f t="shared" si="73"/>
        <v>157.86064042462411</v>
      </c>
      <c r="C140">
        <f t="shared" si="74"/>
        <v>158</v>
      </c>
      <c r="D140">
        <f t="shared" si="75"/>
        <v>317</v>
      </c>
      <c r="E140">
        <f t="shared" si="76"/>
        <v>549</v>
      </c>
      <c r="F140">
        <f t="shared" si="77"/>
        <v>87016</v>
      </c>
      <c r="G140" s="24">
        <f t="shared" si="78"/>
        <v>86690.297619360688</v>
      </c>
      <c r="H140" s="24">
        <f t="shared" si="79"/>
        <v>1.0037570799683881</v>
      </c>
      <c r="I140">
        <f t="shared" si="80"/>
        <v>275</v>
      </c>
      <c r="J140">
        <f t="shared" si="61"/>
        <v>75625</v>
      </c>
      <c r="K140" s="25">
        <f t="shared" si="84"/>
        <v>75076</v>
      </c>
      <c r="L140" s="24">
        <f t="shared" si="81"/>
        <v>1.0073125899088924</v>
      </c>
      <c r="M140">
        <f t="shared" si="82"/>
        <v>-11391</v>
      </c>
      <c r="N140" s="24">
        <f t="shared" si="83"/>
        <v>3.5555099405042423E-3</v>
      </c>
    </row>
    <row r="141" spans="1:14" x14ac:dyDescent="0.25">
      <c r="A141">
        <v>138</v>
      </c>
      <c r="B141" s="27">
        <f t="shared" si="73"/>
        <v>159.01534096300335</v>
      </c>
      <c r="C141">
        <f t="shared" si="74"/>
        <v>160</v>
      </c>
      <c r="D141">
        <f t="shared" si="75"/>
        <v>321</v>
      </c>
      <c r="E141">
        <f t="shared" si="76"/>
        <v>553</v>
      </c>
      <c r="F141">
        <f t="shared" si="77"/>
        <v>88756</v>
      </c>
      <c r="G141" s="24">
        <f t="shared" si="78"/>
        <v>87960.468211577871</v>
      </c>
      <c r="H141" s="24">
        <f t="shared" si="79"/>
        <v>1.0090441968374768</v>
      </c>
      <c r="I141">
        <f t="shared" si="80"/>
        <v>277</v>
      </c>
      <c r="J141">
        <f t="shared" si="61"/>
        <v>76729</v>
      </c>
      <c r="K141" s="25">
        <f t="shared" si="84"/>
        <v>76176</v>
      </c>
      <c r="L141" s="24">
        <f t="shared" si="81"/>
        <v>1.0072595043058181</v>
      </c>
      <c r="M141">
        <f t="shared" si="82"/>
        <v>-12027</v>
      </c>
      <c r="N141" s="24">
        <f t="shared" si="83"/>
        <v>-1.7846925316586937E-3</v>
      </c>
    </row>
    <row r="142" spans="1:14" x14ac:dyDescent="0.25">
      <c r="A142">
        <v>139</v>
      </c>
      <c r="B142" s="27">
        <f t="shared" si="73"/>
        <v>160.17004150138263</v>
      </c>
      <c r="C142">
        <f t="shared" si="74"/>
        <v>161</v>
      </c>
      <c r="D142">
        <f t="shared" si="75"/>
        <v>323</v>
      </c>
      <c r="E142">
        <f t="shared" si="76"/>
        <v>557</v>
      </c>
      <c r="F142">
        <f t="shared" si="77"/>
        <v>89955</v>
      </c>
      <c r="G142" s="24">
        <f t="shared" si="78"/>
        <v>89239.876408102078</v>
      </c>
      <c r="H142" s="24">
        <f t="shared" si="79"/>
        <v>1.0080134982328706</v>
      </c>
      <c r="I142">
        <f t="shared" si="80"/>
        <v>279</v>
      </c>
      <c r="J142">
        <f t="shared" si="61"/>
        <v>77841</v>
      </c>
      <c r="K142" s="25">
        <f t="shared" si="84"/>
        <v>77284</v>
      </c>
      <c r="L142" s="24">
        <f t="shared" si="81"/>
        <v>1.0072071838931733</v>
      </c>
      <c r="M142">
        <f t="shared" si="82"/>
        <v>-12114</v>
      </c>
      <c r="N142" s="24">
        <f t="shared" si="83"/>
        <v>-8.0631433969724498E-4</v>
      </c>
    </row>
    <row r="143" spans="1:14" x14ac:dyDescent="0.25">
      <c r="A143">
        <v>140</v>
      </c>
      <c r="B143" s="27">
        <f t="shared" si="73"/>
        <v>161.32474203976187</v>
      </c>
      <c r="C143">
        <f t="shared" si="74"/>
        <v>162</v>
      </c>
      <c r="D143">
        <f t="shared" si="75"/>
        <v>325</v>
      </c>
      <c r="E143">
        <f t="shared" si="76"/>
        <v>561</v>
      </c>
      <c r="F143">
        <f t="shared" si="77"/>
        <v>91162</v>
      </c>
      <c r="G143" s="24">
        <f t="shared" si="78"/>
        <v>90528.522208933326</v>
      </c>
      <c r="H143" s="24">
        <f t="shared" si="79"/>
        <v>1.0069975492321044</v>
      </c>
      <c r="I143">
        <f t="shared" si="80"/>
        <v>281</v>
      </c>
      <c r="J143">
        <f t="shared" si="61"/>
        <v>78961</v>
      </c>
      <c r="K143" s="25">
        <f t="shared" si="84"/>
        <v>78400</v>
      </c>
      <c r="L143" s="24">
        <f t="shared" si="81"/>
        <v>1.0071556122448979</v>
      </c>
      <c r="M143">
        <f t="shared" si="82"/>
        <v>-12201</v>
      </c>
      <c r="N143" s="24">
        <f t="shared" si="83"/>
        <v>1.5806301279353008E-4</v>
      </c>
    </row>
    <row r="144" spans="1:14" x14ac:dyDescent="0.25">
      <c r="A144">
        <v>141</v>
      </c>
      <c r="B144" s="27">
        <f t="shared" si="73"/>
        <v>162.47944257814112</v>
      </c>
      <c r="C144">
        <f t="shared" si="74"/>
        <v>163</v>
      </c>
      <c r="D144">
        <f t="shared" si="75"/>
        <v>327</v>
      </c>
      <c r="E144">
        <f t="shared" si="76"/>
        <v>565</v>
      </c>
      <c r="F144">
        <f t="shared" si="77"/>
        <v>92377</v>
      </c>
      <c r="G144" s="24">
        <f t="shared" si="78"/>
        <v>91826.405614071598</v>
      </c>
      <c r="H144" s="24">
        <f t="shared" si="79"/>
        <v>1.005996035478536</v>
      </c>
      <c r="I144">
        <f t="shared" si="80"/>
        <v>283</v>
      </c>
      <c r="J144">
        <f t="shared" si="61"/>
        <v>80089</v>
      </c>
      <c r="K144" s="25">
        <f t="shared" si="84"/>
        <v>79524</v>
      </c>
      <c r="L144" s="24">
        <f t="shared" si="81"/>
        <v>1.0071047734017404</v>
      </c>
      <c r="M144">
        <f t="shared" si="82"/>
        <v>-12288</v>
      </c>
      <c r="N144" s="24">
        <f t="shared" si="83"/>
        <v>1.1087379232044281E-3</v>
      </c>
    </row>
    <row r="145" spans="1:14" x14ac:dyDescent="0.25">
      <c r="A145">
        <v>142</v>
      </c>
      <c r="B145" s="27">
        <f t="shared" si="73"/>
        <v>163.63414311652039</v>
      </c>
      <c r="C145">
        <f t="shared" si="74"/>
        <v>164</v>
      </c>
      <c r="D145">
        <f t="shared" si="75"/>
        <v>329</v>
      </c>
      <c r="E145">
        <f t="shared" si="76"/>
        <v>569</v>
      </c>
      <c r="F145">
        <f t="shared" si="77"/>
        <v>93600</v>
      </c>
      <c r="G145" s="24">
        <f t="shared" si="78"/>
        <v>93133.526623516911</v>
      </c>
      <c r="H145" s="24">
        <f t="shared" si="79"/>
        <v>1.0050086514856111</v>
      </c>
      <c r="I145">
        <f t="shared" si="80"/>
        <v>285</v>
      </c>
      <c r="J145">
        <f t="shared" si="61"/>
        <v>81225</v>
      </c>
      <c r="K145" s="25">
        <f t="shared" si="84"/>
        <v>80656</v>
      </c>
      <c r="L145" s="24">
        <f t="shared" si="81"/>
        <v>1.0070546518547907</v>
      </c>
      <c r="M145">
        <f t="shared" si="82"/>
        <v>-12375</v>
      </c>
      <c r="N145" s="24">
        <f t="shared" si="83"/>
        <v>2.0460003691795681E-3</v>
      </c>
    </row>
    <row r="146" spans="1:14" x14ac:dyDescent="0.25">
      <c r="A146">
        <v>143</v>
      </c>
      <c r="B146" s="27">
        <f t="shared" si="73"/>
        <v>164.78884365489964</v>
      </c>
      <c r="C146">
        <f t="shared" si="74"/>
        <v>165</v>
      </c>
      <c r="D146">
        <f t="shared" si="75"/>
        <v>331</v>
      </c>
      <c r="E146">
        <f t="shared" si="76"/>
        <v>573</v>
      </c>
      <c r="F146">
        <f t="shared" si="77"/>
        <v>94831</v>
      </c>
      <c r="G146" s="24">
        <f t="shared" si="78"/>
        <v>94449.885237269264</v>
      </c>
      <c r="H146" s="24">
        <f t="shared" si="79"/>
        <v>1.0040351003262029</v>
      </c>
      <c r="I146">
        <f t="shared" si="80"/>
        <v>287</v>
      </c>
      <c r="J146">
        <f t="shared" si="61"/>
        <v>82369</v>
      </c>
      <c r="K146" s="25">
        <f t="shared" si="84"/>
        <v>81796</v>
      </c>
      <c r="L146" s="24">
        <f t="shared" si="81"/>
        <v>1.0070052325297081</v>
      </c>
      <c r="M146">
        <f t="shared" si="82"/>
        <v>-12462</v>
      </c>
      <c r="N146" s="24">
        <f t="shared" si="83"/>
        <v>2.9701322035051714E-3</v>
      </c>
    </row>
    <row r="147" spans="1:14" x14ac:dyDescent="0.25">
      <c r="A147">
        <v>144</v>
      </c>
      <c r="B147" s="27">
        <f t="shared" si="73"/>
        <v>165.94354419327888</v>
      </c>
      <c r="C147">
        <f t="shared" si="74"/>
        <v>166</v>
      </c>
      <c r="D147">
        <f t="shared" si="75"/>
        <v>333</v>
      </c>
      <c r="E147">
        <f t="shared" si="76"/>
        <v>577</v>
      </c>
      <c r="F147">
        <f t="shared" si="77"/>
        <v>96070</v>
      </c>
      <c r="G147" s="24">
        <f t="shared" si="78"/>
        <v>95775.481455328641</v>
      </c>
      <c r="H147" s="24">
        <f t="shared" si="79"/>
        <v>1.0030750933349128</v>
      </c>
      <c r="I147">
        <f t="shared" si="80"/>
        <v>289</v>
      </c>
      <c r="J147">
        <f t="shared" si="61"/>
        <v>83521</v>
      </c>
      <c r="K147" s="25">
        <f t="shared" si="84"/>
        <v>82944</v>
      </c>
      <c r="L147" s="24">
        <f t="shared" si="81"/>
        <v>1.006956500771605</v>
      </c>
      <c r="M147">
        <f t="shared" si="82"/>
        <v>-12549</v>
      </c>
      <c r="N147" s="24">
        <f t="shared" si="83"/>
        <v>3.8814074366921858E-3</v>
      </c>
    </row>
    <row r="148" spans="1:14" x14ac:dyDescent="0.25">
      <c r="A148">
        <v>145</v>
      </c>
      <c r="B148" s="27">
        <f t="shared" si="73"/>
        <v>167.09824473165813</v>
      </c>
      <c r="C148">
        <f t="shared" si="74"/>
        <v>168</v>
      </c>
      <c r="D148">
        <f t="shared" si="75"/>
        <v>337</v>
      </c>
      <c r="E148">
        <f t="shared" si="76"/>
        <v>581</v>
      </c>
      <c r="F148">
        <f t="shared" si="77"/>
        <v>97898</v>
      </c>
      <c r="G148" s="24">
        <f t="shared" si="78"/>
        <v>97110.315277695059</v>
      </c>
      <c r="H148" s="24">
        <f t="shared" si="79"/>
        <v>1.0081112363815574</v>
      </c>
      <c r="I148">
        <f t="shared" si="80"/>
        <v>291</v>
      </c>
      <c r="J148">
        <f t="shared" si="61"/>
        <v>84681</v>
      </c>
      <c r="K148" s="25">
        <f t="shared" si="84"/>
        <v>84100</v>
      </c>
      <c r="L148" s="24">
        <f t="shared" si="81"/>
        <v>1.0069084423305588</v>
      </c>
      <c r="M148">
        <f t="shared" si="82"/>
        <v>-13217</v>
      </c>
      <c r="N148" s="24">
        <f t="shared" si="83"/>
        <v>-1.2027940509986568E-3</v>
      </c>
    </row>
    <row r="149" spans="1:14" x14ac:dyDescent="0.25">
      <c r="A149">
        <v>146</v>
      </c>
      <c r="B149" s="27">
        <f t="shared" si="73"/>
        <v>168.25294527003737</v>
      </c>
      <c r="C149">
        <f t="shared" si="74"/>
        <v>169</v>
      </c>
      <c r="D149">
        <f t="shared" si="75"/>
        <v>339</v>
      </c>
      <c r="E149">
        <f t="shared" si="76"/>
        <v>585</v>
      </c>
      <c r="F149">
        <f t="shared" si="77"/>
        <v>99157</v>
      </c>
      <c r="G149" s="24">
        <f t="shared" si="78"/>
        <v>98454.386704368502</v>
      </c>
      <c r="H149" s="24">
        <f t="shared" si="79"/>
        <v>1.0071364346389282</v>
      </c>
      <c r="I149">
        <f t="shared" si="80"/>
        <v>293</v>
      </c>
      <c r="J149">
        <f t="shared" si="61"/>
        <v>85849</v>
      </c>
      <c r="K149" s="25">
        <f t="shared" si="84"/>
        <v>85264</v>
      </c>
      <c r="L149" s="24">
        <f t="shared" si="81"/>
        <v>1.0068610433477201</v>
      </c>
      <c r="M149">
        <f t="shared" si="82"/>
        <v>-13308</v>
      </c>
      <c r="N149" s="24">
        <f t="shared" si="83"/>
        <v>-2.7539129120812689E-4</v>
      </c>
    </row>
    <row r="150" spans="1:14" x14ac:dyDescent="0.25">
      <c r="A150">
        <v>147</v>
      </c>
      <c r="B150" s="27">
        <f t="shared" si="73"/>
        <v>169.40764580841662</v>
      </c>
      <c r="C150">
        <f t="shared" si="74"/>
        <v>170</v>
      </c>
      <c r="D150">
        <f t="shared" si="75"/>
        <v>341</v>
      </c>
      <c r="E150">
        <f t="shared" si="76"/>
        <v>589</v>
      </c>
      <c r="F150">
        <f t="shared" si="77"/>
        <v>100424</v>
      </c>
      <c r="G150" s="24">
        <f t="shared" si="78"/>
        <v>99807.695735348985</v>
      </c>
      <c r="H150" s="24">
        <f t="shared" si="79"/>
        <v>1.0061749172757701</v>
      </c>
      <c r="I150">
        <f t="shared" si="80"/>
        <v>295</v>
      </c>
      <c r="J150">
        <f t="shared" si="61"/>
        <v>87025</v>
      </c>
      <c r="K150" s="25">
        <f t="shared" si="84"/>
        <v>86436</v>
      </c>
      <c r="L150" s="24">
        <f t="shared" si="81"/>
        <v>1.0068142903419872</v>
      </c>
      <c r="M150">
        <f t="shared" si="82"/>
        <v>-13399</v>
      </c>
      <c r="N150" s="24">
        <f t="shared" si="83"/>
        <v>6.3937306621708601E-4</v>
      </c>
    </row>
    <row r="151" spans="1:14" x14ac:dyDescent="0.25">
      <c r="A151">
        <v>148</v>
      </c>
      <c r="B151" s="27">
        <f t="shared" si="73"/>
        <v>170.56234634679586</v>
      </c>
      <c r="C151">
        <f t="shared" si="74"/>
        <v>171</v>
      </c>
      <c r="D151">
        <f t="shared" si="75"/>
        <v>343</v>
      </c>
      <c r="E151">
        <f t="shared" si="76"/>
        <v>593</v>
      </c>
      <c r="F151">
        <f t="shared" si="77"/>
        <v>101699</v>
      </c>
      <c r="G151" s="24">
        <f t="shared" si="78"/>
        <v>101170.24237063651</v>
      </c>
      <c r="H151" s="24">
        <f t="shared" si="79"/>
        <v>1.0052264145758036</v>
      </c>
      <c r="I151">
        <f t="shared" si="80"/>
        <v>297</v>
      </c>
      <c r="J151">
        <f t="shared" si="61"/>
        <v>88209</v>
      </c>
      <c r="K151" s="25">
        <f t="shared" si="84"/>
        <v>87616</v>
      </c>
      <c r="L151" s="24">
        <f t="shared" si="81"/>
        <v>1.0067681701972242</v>
      </c>
      <c r="M151">
        <f t="shared" si="82"/>
        <v>-13490</v>
      </c>
      <c r="N151" s="24">
        <f t="shared" si="83"/>
        <v>1.5417556214205597E-3</v>
      </c>
    </row>
    <row r="152" spans="1:14" x14ac:dyDescent="0.25">
      <c r="A152">
        <v>149</v>
      </c>
      <c r="B152" s="27">
        <f t="shared" si="73"/>
        <v>171.71704688517514</v>
      </c>
      <c r="C152">
        <f t="shared" si="74"/>
        <v>172</v>
      </c>
      <c r="D152">
        <f t="shared" si="75"/>
        <v>345</v>
      </c>
      <c r="E152">
        <f t="shared" si="76"/>
        <v>597</v>
      </c>
      <c r="F152">
        <f t="shared" si="77"/>
        <v>102982</v>
      </c>
      <c r="G152" s="24">
        <f t="shared" si="78"/>
        <v>102542.02661023106</v>
      </c>
      <c r="H152" s="24">
        <f t="shared" si="79"/>
        <v>1.0042906640751437</v>
      </c>
      <c r="I152">
        <f t="shared" si="80"/>
        <v>299</v>
      </c>
      <c r="J152">
        <f t="shared" si="61"/>
        <v>89401</v>
      </c>
      <c r="K152" s="25">
        <f t="shared" si="84"/>
        <v>88804</v>
      </c>
      <c r="L152" s="24">
        <f t="shared" si="81"/>
        <v>1.0067226701499932</v>
      </c>
      <c r="M152">
        <f t="shared" si="82"/>
        <v>-13581</v>
      </c>
      <c r="N152" s="24">
        <f t="shared" si="83"/>
        <v>2.432006074849502E-3</v>
      </c>
    </row>
    <row r="153" spans="1:14" x14ac:dyDescent="0.25">
      <c r="A153">
        <v>150</v>
      </c>
      <c r="B153" s="27">
        <f t="shared" si="73"/>
        <v>172.87174742355441</v>
      </c>
      <c r="C153">
        <f t="shared" si="74"/>
        <v>173</v>
      </c>
      <c r="D153">
        <f t="shared" si="75"/>
        <v>347</v>
      </c>
      <c r="E153">
        <f t="shared" si="76"/>
        <v>601</v>
      </c>
      <c r="F153">
        <f t="shared" si="77"/>
        <v>104273</v>
      </c>
      <c r="G153" s="24">
        <f t="shared" si="78"/>
        <v>103923.04845413264</v>
      </c>
      <c r="H153" s="24">
        <f t="shared" si="79"/>
        <v>1.003367410320164</v>
      </c>
      <c r="I153">
        <f t="shared" si="80"/>
        <v>301</v>
      </c>
      <c r="J153">
        <f t="shared" si="61"/>
        <v>90601</v>
      </c>
      <c r="K153" s="25">
        <f t="shared" si="84"/>
        <v>90000</v>
      </c>
      <c r="L153" s="24">
        <f t="shared" si="81"/>
        <v>1.0066777777777778</v>
      </c>
      <c r="M153">
        <f t="shared" si="82"/>
        <v>-13672</v>
      </c>
      <c r="N153" s="24">
        <f t="shared" si="83"/>
        <v>3.3103674576138165E-3</v>
      </c>
    </row>
    <row r="154" spans="1:14" x14ac:dyDescent="0.25">
      <c r="A154">
        <v>151</v>
      </c>
      <c r="B154" s="27">
        <f t="shared" si="73"/>
        <v>174.02644796193363</v>
      </c>
      <c r="C154">
        <f t="shared" si="74"/>
        <v>175</v>
      </c>
      <c r="D154">
        <f t="shared" si="75"/>
        <v>351</v>
      </c>
      <c r="E154">
        <f t="shared" si="76"/>
        <v>605</v>
      </c>
      <c r="F154">
        <f t="shared" si="77"/>
        <v>106177</v>
      </c>
      <c r="G154" s="24">
        <f t="shared" si="78"/>
        <v>105313.30790234126</v>
      </c>
      <c r="H154" s="24">
        <f t="shared" si="79"/>
        <v>1.0082011676858509</v>
      </c>
      <c r="I154">
        <f t="shared" si="80"/>
        <v>303</v>
      </c>
      <c r="J154">
        <f t="shared" ref="J154:J217" si="85">I154*I154</f>
        <v>91809</v>
      </c>
      <c r="K154" s="25">
        <f t="shared" si="84"/>
        <v>91204</v>
      </c>
      <c r="L154" s="24">
        <f t="shared" si="81"/>
        <v>1.006633480987676</v>
      </c>
      <c r="M154">
        <f t="shared" si="82"/>
        <v>-14368</v>
      </c>
      <c r="N154" s="24">
        <f t="shared" si="83"/>
        <v>-1.5676866981748638E-3</v>
      </c>
    </row>
    <row r="155" spans="1:14" x14ac:dyDescent="0.25">
      <c r="A155">
        <v>152</v>
      </c>
      <c r="B155" s="27">
        <f t="shared" si="73"/>
        <v>175.1811485003129</v>
      </c>
      <c r="C155">
        <f t="shared" si="74"/>
        <v>176</v>
      </c>
      <c r="D155">
        <f t="shared" si="75"/>
        <v>353</v>
      </c>
      <c r="E155">
        <f t="shared" si="76"/>
        <v>609</v>
      </c>
      <c r="F155">
        <f t="shared" si="77"/>
        <v>107488</v>
      </c>
      <c r="G155" s="24">
        <f t="shared" si="78"/>
        <v>106712.80495485691</v>
      </c>
      <c r="H155" s="24">
        <f t="shared" si="79"/>
        <v>1.0072643113960975</v>
      </c>
      <c r="I155">
        <f t="shared" si="80"/>
        <v>305</v>
      </c>
      <c r="J155">
        <f t="shared" si="85"/>
        <v>93025</v>
      </c>
      <c r="K155" s="25">
        <f t="shared" si="84"/>
        <v>92416</v>
      </c>
      <c r="L155" s="24">
        <f t="shared" si="81"/>
        <v>1.0065897680055402</v>
      </c>
      <c r="M155">
        <f t="shared" si="82"/>
        <v>-14463</v>
      </c>
      <c r="N155" s="24">
        <f t="shared" si="83"/>
        <v>-6.7454339055728063E-4</v>
      </c>
    </row>
    <row r="156" spans="1:14" x14ac:dyDescent="0.25">
      <c r="A156">
        <v>153</v>
      </c>
      <c r="B156" s="27">
        <f t="shared" si="73"/>
        <v>176.33584903869215</v>
      </c>
      <c r="C156">
        <f t="shared" si="74"/>
        <v>177</v>
      </c>
      <c r="D156">
        <f t="shared" si="75"/>
        <v>355</v>
      </c>
      <c r="E156">
        <f t="shared" si="76"/>
        <v>613</v>
      </c>
      <c r="F156">
        <f t="shared" si="77"/>
        <v>108807</v>
      </c>
      <c r="G156" s="24">
        <f t="shared" si="78"/>
        <v>108121.5396116796</v>
      </c>
      <c r="H156" s="24">
        <f t="shared" si="79"/>
        <v>1.006339720936108</v>
      </c>
      <c r="I156">
        <f t="shared" si="80"/>
        <v>307</v>
      </c>
      <c r="J156">
        <f t="shared" si="85"/>
        <v>94249</v>
      </c>
      <c r="K156" s="25">
        <f t="shared" si="84"/>
        <v>93636</v>
      </c>
      <c r="L156" s="24">
        <f t="shared" si="81"/>
        <v>1.0065466273655432</v>
      </c>
      <c r="M156">
        <f t="shared" si="82"/>
        <v>-14558</v>
      </c>
      <c r="N156" s="24">
        <f t="shared" si="83"/>
        <v>2.0690642943521631E-4</v>
      </c>
    </row>
    <row r="157" spans="1:14" x14ac:dyDescent="0.25">
      <c r="A157">
        <v>154</v>
      </c>
      <c r="B157" s="27">
        <f t="shared" si="73"/>
        <v>177.49054957707139</v>
      </c>
      <c r="C157">
        <f t="shared" si="74"/>
        <v>178</v>
      </c>
      <c r="D157">
        <f t="shared" si="75"/>
        <v>357</v>
      </c>
      <c r="E157">
        <f t="shared" si="76"/>
        <v>617</v>
      </c>
      <c r="F157">
        <f t="shared" si="77"/>
        <v>110134</v>
      </c>
      <c r="G157" s="24">
        <f t="shared" si="78"/>
        <v>109539.51187280932</v>
      </c>
      <c r="H157" s="24">
        <f t="shared" si="79"/>
        <v>1.0054271569867954</v>
      </c>
      <c r="I157">
        <f t="shared" si="80"/>
        <v>309</v>
      </c>
      <c r="J157">
        <f t="shared" si="85"/>
        <v>95481</v>
      </c>
      <c r="K157" s="25">
        <f t="shared" si="84"/>
        <v>94864</v>
      </c>
      <c r="L157" s="24">
        <f t="shared" si="81"/>
        <v>1.0065040479001517</v>
      </c>
      <c r="M157">
        <f t="shared" si="82"/>
        <v>-14653</v>
      </c>
      <c r="N157" s="24">
        <f t="shared" si="83"/>
        <v>1.0768909133562765E-3</v>
      </c>
    </row>
    <row r="158" spans="1:14" x14ac:dyDescent="0.25">
      <c r="A158">
        <v>155</v>
      </c>
      <c r="B158" s="27">
        <f t="shared" si="73"/>
        <v>178.64525011545064</v>
      </c>
      <c r="C158">
        <f t="shared" si="74"/>
        <v>179</v>
      </c>
      <c r="D158">
        <f t="shared" si="75"/>
        <v>359</v>
      </c>
      <c r="E158">
        <f t="shared" si="76"/>
        <v>621</v>
      </c>
      <c r="F158">
        <f t="shared" si="77"/>
        <v>111469</v>
      </c>
      <c r="G158" s="24">
        <f t="shared" si="78"/>
        <v>110966.72173824608</v>
      </c>
      <c r="H158" s="24">
        <f t="shared" si="79"/>
        <v>1.004526386414647</v>
      </c>
      <c r="I158">
        <f t="shared" si="80"/>
        <v>311</v>
      </c>
      <c r="J158">
        <f t="shared" si="85"/>
        <v>96721</v>
      </c>
      <c r="K158" s="25">
        <f t="shared" si="84"/>
        <v>96100</v>
      </c>
      <c r="L158" s="24">
        <f t="shared" si="81"/>
        <v>1.0064620187304891</v>
      </c>
      <c r="M158">
        <f t="shared" si="82"/>
        <v>-14748</v>
      </c>
      <c r="N158" s="24">
        <f t="shared" si="83"/>
        <v>1.9356323158421507E-3</v>
      </c>
    </row>
    <row r="159" spans="1:14" x14ac:dyDescent="0.25">
      <c r="A159">
        <v>156</v>
      </c>
      <c r="B159" s="27">
        <f t="shared" si="73"/>
        <v>179.79995065382991</v>
      </c>
      <c r="C159">
        <f t="shared" si="74"/>
        <v>180</v>
      </c>
      <c r="D159">
        <f t="shared" si="75"/>
        <v>361</v>
      </c>
      <c r="E159">
        <f t="shared" si="76"/>
        <v>625</v>
      </c>
      <c r="F159">
        <f t="shared" si="77"/>
        <v>112812</v>
      </c>
      <c r="G159" s="24">
        <f t="shared" si="78"/>
        <v>112403.16920798986</v>
      </c>
      <c r="H159" s="24">
        <f t="shared" si="79"/>
        <v>1.0036371820731642</v>
      </c>
      <c r="I159">
        <f t="shared" si="80"/>
        <v>313</v>
      </c>
      <c r="J159">
        <f t="shared" si="85"/>
        <v>97969</v>
      </c>
      <c r="K159" s="25">
        <f t="shared" si="84"/>
        <v>97344</v>
      </c>
      <c r="L159" s="24">
        <f t="shared" si="81"/>
        <v>1.0064205292570678</v>
      </c>
      <c r="M159">
        <f t="shared" si="82"/>
        <v>-14843</v>
      </c>
      <c r="N159" s="24">
        <f t="shared" si="83"/>
        <v>2.7833471839036061E-3</v>
      </c>
    </row>
    <row r="160" spans="1:14" x14ac:dyDescent="0.25">
      <c r="A160">
        <v>157</v>
      </c>
      <c r="B160" s="27">
        <f t="shared" si="73"/>
        <v>180.95465119220913</v>
      </c>
      <c r="C160">
        <f t="shared" si="74"/>
        <v>181</v>
      </c>
      <c r="D160">
        <f t="shared" si="75"/>
        <v>363</v>
      </c>
      <c r="E160">
        <f t="shared" si="76"/>
        <v>629</v>
      </c>
      <c r="F160">
        <f t="shared" si="77"/>
        <v>114163</v>
      </c>
      <c r="G160" s="24">
        <f t="shared" si="78"/>
        <v>113848.85428204069</v>
      </c>
      <c r="H160" s="24">
        <f t="shared" si="79"/>
        <v>1.0027593226118998</v>
      </c>
      <c r="I160">
        <f t="shared" si="80"/>
        <v>315</v>
      </c>
      <c r="J160">
        <f t="shared" si="85"/>
        <v>99225</v>
      </c>
      <c r="K160" s="25">
        <f t="shared" si="84"/>
        <v>98596</v>
      </c>
      <c r="L160" s="24">
        <f t="shared" si="81"/>
        <v>1.0063795691508783</v>
      </c>
      <c r="M160">
        <f t="shared" si="82"/>
        <v>-14938</v>
      </c>
      <c r="N160" s="24">
        <f t="shared" si="83"/>
        <v>3.6202465389785221E-3</v>
      </c>
    </row>
    <row r="161" spans="1:14" x14ac:dyDescent="0.25">
      <c r="A161">
        <v>158</v>
      </c>
      <c r="B161" s="27">
        <f t="shared" si="73"/>
        <v>182.1093517305884</v>
      </c>
      <c r="C161">
        <f t="shared" si="74"/>
        <v>183</v>
      </c>
      <c r="D161">
        <f t="shared" si="75"/>
        <v>367</v>
      </c>
      <c r="E161">
        <f t="shared" si="76"/>
        <v>633</v>
      </c>
      <c r="F161">
        <f t="shared" si="77"/>
        <v>116155</v>
      </c>
      <c r="G161" s="24">
        <f t="shared" si="78"/>
        <v>115303.77696039855</v>
      </c>
      <c r="H161" s="24">
        <f t="shared" si="79"/>
        <v>1.0073824384772219</v>
      </c>
      <c r="I161">
        <f t="shared" si="80"/>
        <v>317</v>
      </c>
      <c r="J161">
        <f t="shared" si="85"/>
        <v>100489</v>
      </c>
      <c r="K161" s="25">
        <f t="shared" si="84"/>
        <v>99856</v>
      </c>
      <c r="L161" s="24">
        <f t="shared" si="81"/>
        <v>1.0063391283448166</v>
      </c>
      <c r="M161">
        <f t="shared" si="82"/>
        <v>-15666</v>
      </c>
      <c r="N161" s="24">
        <f t="shared" si="83"/>
        <v>-1.0433101324052174E-3</v>
      </c>
    </row>
    <row r="162" spans="1:14" x14ac:dyDescent="0.25">
      <c r="A162">
        <v>159</v>
      </c>
      <c r="B162" s="27">
        <f t="shared" si="73"/>
        <v>183.26405226896767</v>
      </c>
      <c r="C162">
        <f t="shared" si="74"/>
        <v>184</v>
      </c>
      <c r="D162">
        <f t="shared" si="75"/>
        <v>369</v>
      </c>
      <c r="E162">
        <f t="shared" si="76"/>
        <v>637</v>
      </c>
      <c r="F162">
        <f t="shared" si="77"/>
        <v>117526</v>
      </c>
      <c r="G162" s="24">
        <f t="shared" si="78"/>
        <v>116767.93724306344</v>
      </c>
      <c r="H162" s="24">
        <f t="shared" si="79"/>
        <v>1.0064920454607207</v>
      </c>
      <c r="I162">
        <f t="shared" si="80"/>
        <v>319</v>
      </c>
      <c r="J162">
        <f t="shared" si="85"/>
        <v>101761</v>
      </c>
      <c r="K162" s="25">
        <f t="shared" si="84"/>
        <v>101124</v>
      </c>
      <c r="L162" s="24">
        <f t="shared" si="81"/>
        <v>1.006299197025434</v>
      </c>
      <c r="M162">
        <f t="shared" si="82"/>
        <v>-15765</v>
      </c>
      <c r="N162" s="24">
        <f t="shared" si="83"/>
        <v>-1.9284843528666329E-4</v>
      </c>
    </row>
    <row r="163" spans="1:14" x14ac:dyDescent="0.25">
      <c r="A163">
        <v>160</v>
      </c>
      <c r="B163" s="27">
        <f t="shared" si="73"/>
        <v>184.41875280734689</v>
      </c>
      <c r="C163">
        <f t="shared" si="74"/>
        <v>185</v>
      </c>
      <c r="D163">
        <f t="shared" si="75"/>
        <v>371</v>
      </c>
      <c r="E163">
        <f t="shared" si="76"/>
        <v>641</v>
      </c>
      <c r="F163">
        <f t="shared" si="77"/>
        <v>118905</v>
      </c>
      <c r="G163" s="24">
        <f t="shared" si="78"/>
        <v>118241.33513003537</v>
      </c>
      <c r="H163" s="24">
        <f t="shared" si="79"/>
        <v>1.0056127991893424</v>
      </c>
      <c r="I163">
        <f t="shared" si="80"/>
        <v>321</v>
      </c>
      <c r="J163">
        <f t="shared" si="85"/>
        <v>103041</v>
      </c>
      <c r="K163" s="25">
        <f t="shared" si="84"/>
        <v>102400</v>
      </c>
      <c r="L163" s="24">
        <f t="shared" si="81"/>
        <v>1.0062597656250001</v>
      </c>
      <c r="M163">
        <f t="shared" si="82"/>
        <v>-15864</v>
      </c>
      <c r="N163" s="24">
        <f t="shared" si="83"/>
        <v>6.4696643565764766E-4</v>
      </c>
    </row>
    <row r="164" spans="1:14" x14ac:dyDescent="0.25">
      <c r="A164">
        <v>161</v>
      </c>
      <c r="B164" s="27">
        <f t="shared" si="73"/>
        <v>185.57345334572616</v>
      </c>
      <c r="C164">
        <f t="shared" si="74"/>
        <v>186</v>
      </c>
      <c r="D164">
        <f t="shared" si="75"/>
        <v>373</v>
      </c>
      <c r="E164">
        <f t="shared" si="76"/>
        <v>645</v>
      </c>
      <c r="F164">
        <f t="shared" si="77"/>
        <v>120292</v>
      </c>
      <c r="G164" s="24">
        <f t="shared" si="78"/>
        <v>119723.97062131432</v>
      </c>
      <c r="H164" s="24">
        <f t="shared" si="79"/>
        <v>1.0047444916480623</v>
      </c>
      <c r="I164">
        <f t="shared" si="80"/>
        <v>323</v>
      </c>
      <c r="J164">
        <f t="shared" si="85"/>
        <v>104329</v>
      </c>
      <c r="K164" s="25">
        <f t="shared" si="84"/>
        <v>103684</v>
      </c>
      <c r="L164" s="24">
        <f t="shared" si="81"/>
        <v>1.0062208248138576</v>
      </c>
      <c r="M164">
        <f t="shared" si="82"/>
        <v>-15963</v>
      </c>
      <c r="N164" s="24">
        <f t="shared" si="83"/>
        <v>1.4763331657952072E-3</v>
      </c>
    </row>
    <row r="165" spans="1:14" x14ac:dyDescent="0.25">
      <c r="A165">
        <v>162</v>
      </c>
      <c r="B165" s="27">
        <f t="shared" si="73"/>
        <v>186.72815388410541</v>
      </c>
      <c r="C165">
        <f t="shared" si="74"/>
        <v>187</v>
      </c>
      <c r="D165">
        <f t="shared" si="75"/>
        <v>375</v>
      </c>
      <c r="E165">
        <f t="shared" si="76"/>
        <v>649</v>
      </c>
      <c r="F165">
        <f t="shared" si="77"/>
        <v>121687</v>
      </c>
      <c r="G165" s="24">
        <f t="shared" si="78"/>
        <v>121215.84371690032</v>
      </c>
      <c r="H165" s="24">
        <f t="shared" si="79"/>
        <v>1.0038869199656777</v>
      </c>
      <c r="I165">
        <f t="shared" si="80"/>
        <v>325</v>
      </c>
      <c r="J165">
        <f t="shared" si="85"/>
        <v>105625</v>
      </c>
      <c r="K165" s="25">
        <f t="shared" si="84"/>
        <v>104976</v>
      </c>
      <c r="L165" s="24">
        <f t="shared" si="81"/>
        <v>1.0061823654930651</v>
      </c>
      <c r="M165">
        <f t="shared" si="82"/>
        <v>-16062</v>
      </c>
      <c r="N165" s="24">
        <f t="shared" si="83"/>
        <v>2.2954455273873631E-3</v>
      </c>
    </row>
    <row r="166" spans="1:14" x14ac:dyDescent="0.25">
      <c r="A166">
        <v>163</v>
      </c>
      <c r="B166" s="27">
        <f t="shared" si="73"/>
        <v>187.88285442248466</v>
      </c>
      <c r="C166">
        <f t="shared" si="74"/>
        <v>188</v>
      </c>
      <c r="D166">
        <f t="shared" si="75"/>
        <v>377</v>
      </c>
      <c r="E166">
        <f t="shared" si="76"/>
        <v>653</v>
      </c>
      <c r="F166">
        <f t="shared" si="77"/>
        <v>123090</v>
      </c>
      <c r="G166" s="24">
        <f t="shared" si="78"/>
        <v>122716.95441679335</v>
      </c>
      <c r="H166" s="24">
        <f t="shared" si="79"/>
        <v>1.0030398862567893</v>
      </c>
      <c r="I166">
        <f t="shared" si="80"/>
        <v>327</v>
      </c>
      <c r="J166">
        <f t="shared" si="85"/>
        <v>106929</v>
      </c>
      <c r="K166" s="25">
        <f t="shared" si="84"/>
        <v>106276</v>
      </c>
      <c r="L166" s="24">
        <f t="shared" si="81"/>
        <v>1.0061443787873086</v>
      </c>
      <c r="M166">
        <f t="shared" si="82"/>
        <v>-16161</v>
      </c>
      <c r="N166" s="24">
        <f t="shared" si="83"/>
        <v>3.1044925305192539E-3</v>
      </c>
    </row>
    <row r="167" spans="1:14" x14ac:dyDescent="0.25">
      <c r="A167">
        <v>164</v>
      </c>
      <c r="B167" s="27">
        <f t="shared" ref="B167:B170" si="86">(A167*SQRT(3)*2+2)/3-1</f>
        <v>189.0375549608639</v>
      </c>
      <c r="C167">
        <f t="shared" ref="C167:C170" si="87">CEILING(B167,1)</f>
        <v>190</v>
      </c>
      <c r="D167">
        <f t="shared" ref="D167:D170" si="88">2*C167+1</f>
        <v>381</v>
      </c>
      <c r="E167">
        <f t="shared" ref="E167:E170" si="89">4*A167+1</f>
        <v>657</v>
      </c>
      <c r="F167">
        <f t="shared" ref="F167:F170" si="90">((D167*E167)-1)/2</f>
        <v>125158</v>
      </c>
      <c r="G167" s="24">
        <f t="shared" ref="G167:G170" si="91">(2*A167)*(2*A167)/G$2</f>
        <v>124227.30272099341</v>
      </c>
      <c r="H167" s="24">
        <f t="shared" ref="H167:H170" si="92">F167/G167</f>
        <v>1.0074918899357967</v>
      </c>
      <c r="I167">
        <f t="shared" ref="I167:I170" si="93">A167*2+1</f>
        <v>329</v>
      </c>
      <c r="J167">
        <f t="shared" si="85"/>
        <v>108241</v>
      </c>
      <c r="K167" s="25">
        <f t="shared" si="84"/>
        <v>107584</v>
      </c>
      <c r="L167" s="24">
        <f t="shared" ref="L167:L170" si="94">J167/K167</f>
        <v>1.0061068560380726</v>
      </c>
      <c r="M167">
        <f t="shared" ref="M167:M170" si="95">J167-F167</f>
        <v>-16917</v>
      </c>
      <c r="N167" s="24">
        <f t="shared" ref="N167:N170" si="96">L167-H167</f>
        <v>-1.3850338977241528E-3</v>
      </c>
    </row>
    <row r="168" spans="1:14" x14ac:dyDescent="0.25">
      <c r="A168">
        <v>165</v>
      </c>
      <c r="B168" s="27">
        <f t="shared" si="86"/>
        <v>190.19225549924317</v>
      </c>
      <c r="C168">
        <f t="shared" si="87"/>
        <v>191</v>
      </c>
      <c r="D168">
        <f t="shared" si="88"/>
        <v>383</v>
      </c>
      <c r="E168">
        <f t="shared" si="89"/>
        <v>661</v>
      </c>
      <c r="F168">
        <f t="shared" si="90"/>
        <v>126581</v>
      </c>
      <c r="G168" s="24">
        <f t="shared" si="91"/>
        <v>125746.88862950049</v>
      </c>
      <c r="H168" s="24">
        <f t="shared" si="92"/>
        <v>1.0066332565329479</v>
      </c>
      <c r="I168">
        <f t="shared" si="93"/>
        <v>331</v>
      </c>
      <c r="J168">
        <f t="shared" si="85"/>
        <v>109561</v>
      </c>
      <c r="K168" s="25">
        <f t="shared" si="84"/>
        <v>108900</v>
      </c>
      <c r="L168" s="24">
        <f t="shared" si="94"/>
        <v>1.0060697887970615</v>
      </c>
      <c r="M168">
        <f t="shared" si="95"/>
        <v>-17020</v>
      </c>
      <c r="N168" s="24">
        <f t="shared" si="96"/>
        <v>-5.6346773588633603E-4</v>
      </c>
    </row>
    <row r="169" spans="1:14" x14ac:dyDescent="0.25">
      <c r="A169">
        <v>166</v>
      </c>
      <c r="B169" s="27">
        <f t="shared" si="86"/>
        <v>191.34695603762239</v>
      </c>
      <c r="C169">
        <f t="shared" si="87"/>
        <v>192</v>
      </c>
      <c r="D169">
        <f t="shared" si="88"/>
        <v>385</v>
      </c>
      <c r="E169">
        <f t="shared" si="89"/>
        <v>665</v>
      </c>
      <c r="F169">
        <f t="shared" si="90"/>
        <v>128012</v>
      </c>
      <c r="G169" s="24">
        <f t="shared" si="91"/>
        <v>127275.71214231463</v>
      </c>
      <c r="H169" s="24">
        <f t="shared" si="92"/>
        <v>1.0057849832092245</v>
      </c>
      <c r="I169">
        <f t="shared" si="93"/>
        <v>333</v>
      </c>
      <c r="J169">
        <f t="shared" si="85"/>
        <v>110889</v>
      </c>
      <c r="K169" s="25">
        <f t="shared" si="84"/>
        <v>110224</v>
      </c>
      <c r="L169" s="24">
        <f t="shared" si="94"/>
        <v>1.0060331688198578</v>
      </c>
      <c r="M169">
        <f t="shared" si="95"/>
        <v>-17123</v>
      </c>
      <c r="N169" s="24">
        <f t="shared" si="96"/>
        <v>2.4818561063333355E-4</v>
      </c>
    </row>
    <row r="170" spans="1:14" x14ac:dyDescent="0.25">
      <c r="A170">
        <v>167</v>
      </c>
      <c r="B170" s="27">
        <f t="shared" si="86"/>
        <v>192.50165657600166</v>
      </c>
      <c r="C170">
        <f t="shared" si="87"/>
        <v>193</v>
      </c>
      <c r="D170">
        <f t="shared" si="88"/>
        <v>387</v>
      </c>
      <c r="E170">
        <f t="shared" si="89"/>
        <v>669</v>
      </c>
      <c r="F170">
        <f t="shared" si="90"/>
        <v>129451</v>
      </c>
      <c r="G170" s="24">
        <f t="shared" si="91"/>
        <v>128813.77325943579</v>
      </c>
      <c r="H170" s="24">
        <f t="shared" si="92"/>
        <v>1.0049468835858166</v>
      </c>
      <c r="I170">
        <f t="shared" si="93"/>
        <v>335</v>
      </c>
      <c r="J170">
        <f t="shared" si="85"/>
        <v>112225</v>
      </c>
      <c r="K170" s="25">
        <f t="shared" si="84"/>
        <v>111556</v>
      </c>
      <c r="L170" s="24">
        <f t="shared" si="94"/>
        <v>1.0059969880598085</v>
      </c>
      <c r="M170">
        <f t="shared" si="95"/>
        <v>-17226</v>
      </c>
      <c r="N170" s="24">
        <f t="shared" si="96"/>
        <v>1.0501044739918974E-3</v>
      </c>
    </row>
    <row r="171" spans="1:14" x14ac:dyDescent="0.25">
      <c r="A171">
        <v>168</v>
      </c>
      <c r="B171" s="27">
        <f t="shared" ref="B171:B186" si="97">(A171*SQRT(3)*2+2)/3-1</f>
        <v>193.65635711438094</v>
      </c>
      <c r="C171">
        <f t="shared" ref="C171:C186" si="98">CEILING(B171,1)</f>
        <v>194</v>
      </c>
      <c r="D171">
        <f t="shared" ref="D171:D186" si="99">2*C171+1</f>
        <v>389</v>
      </c>
      <c r="E171">
        <f t="shared" ref="E171:E186" si="100">4*A171+1</f>
        <v>673</v>
      </c>
      <c r="F171">
        <f t="shared" ref="F171:F186" si="101">((D171*E171)-1)/2</f>
        <v>130898</v>
      </c>
      <c r="G171" s="24">
        <f t="shared" ref="G171:G186" si="102">(2*A171)*(2*A171)/G$2</f>
        <v>130361.07198086398</v>
      </c>
      <c r="H171" s="24">
        <f t="shared" ref="H171:H186" si="103">F171/G171</f>
        <v>1.0041187757278862</v>
      </c>
      <c r="I171">
        <f t="shared" ref="I171:I186" si="104">A171*2+1</f>
        <v>337</v>
      </c>
      <c r="J171">
        <f t="shared" si="85"/>
        <v>113569</v>
      </c>
      <c r="K171" s="25">
        <f t="shared" si="84"/>
        <v>112896</v>
      </c>
      <c r="L171" s="24">
        <f t="shared" ref="L171:L186" si="105">J171/K171</f>
        <v>1.0059612386621315</v>
      </c>
      <c r="M171">
        <f t="shared" ref="M171:M186" si="106">J171-F171</f>
        <v>-17329</v>
      </c>
      <c r="N171" s="24">
        <f t="shared" ref="N171:N186" si="107">L171-H171</f>
        <v>1.8424629342452814E-3</v>
      </c>
    </row>
    <row r="172" spans="1:14" x14ac:dyDescent="0.25">
      <c r="A172">
        <v>169</v>
      </c>
      <c r="B172" s="27">
        <f t="shared" si="97"/>
        <v>194.81105765276016</v>
      </c>
      <c r="C172">
        <f t="shared" si="98"/>
        <v>195</v>
      </c>
      <c r="D172">
        <f t="shared" si="99"/>
        <v>391</v>
      </c>
      <c r="E172">
        <f t="shared" si="100"/>
        <v>677</v>
      </c>
      <c r="F172">
        <f t="shared" si="101"/>
        <v>132353</v>
      </c>
      <c r="G172" s="24">
        <f t="shared" si="102"/>
        <v>131917.60830659923</v>
      </c>
      <c r="H172" s="24">
        <f t="shared" si="103"/>
        <v>1.0033004820129003</v>
      </c>
      <c r="I172">
        <f t="shared" si="104"/>
        <v>339</v>
      </c>
      <c r="J172">
        <f t="shared" si="85"/>
        <v>114921</v>
      </c>
      <c r="K172" s="25">
        <f t="shared" si="84"/>
        <v>114244</v>
      </c>
      <c r="L172" s="24">
        <f t="shared" si="105"/>
        <v>1.0059259129582299</v>
      </c>
      <c r="M172">
        <f t="shared" si="106"/>
        <v>-17432</v>
      </c>
      <c r="N172" s="24">
        <f t="shared" si="107"/>
        <v>2.625430945329521E-3</v>
      </c>
    </row>
    <row r="173" spans="1:14" x14ac:dyDescent="0.25">
      <c r="A173">
        <v>170</v>
      </c>
      <c r="B173" s="27">
        <f t="shared" si="97"/>
        <v>195.96575819113943</v>
      </c>
      <c r="C173">
        <f t="shared" si="98"/>
        <v>196</v>
      </c>
      <c r="D173">
        <f t="shared" si="99"/>
        <v>393</v>
      </c>
      <c r="E173">
        <f t="shared" si="100"/>
        <v>681</v>
      </c>
      <c r="F173">
        <f t="shared" si="101"/>
        <v>133816</v>
      </c>
      <c r="G173" s="24">
        <f t="shared" si="102"/>
        <v>133483.38223664148</v>
      </c>
      <c r="H173" s="24">
        <f t="shared" si="103"/>
        <v>1.0024918290036198</v>
      </c>
      <c r="I173">
        <f t="shared" si="104"/>
        <v>341</v>
      </c>
      <c r="J173">
        <f t="shared" si="85"/>
        <v>116281</v>
      </c>
      <c r="K173" s="25">
        <f t="shared" si="84"/>
        <v>115600</v>
      </c>
      <c r="L173" s="24">
        <f t="shared" si="105"/>
        <v>1.0058910034602075</v>
      </c>
      <c r="M173">
        <f t="shared" si="106"/>
        <v>-17535</v>
      </c>
      <c r="N173" s="24">
        <f t="shared" si="107"/>
        <v>3.3991744565877724E-3</v>
      </c>
    </row>
    <row r="174" spans="1:14" x14ac:dyDescent="0.25">
      <c r="A174">
        <v>171</v>
      </c>
      <c r="B174" s="27">
        <f t="shared" si="97"/>
        <v>197.12045872951867</v>
      </c>
      <c r="C174">
        <f t="shared" si="98"/>
        <v>198</v>
      </c>
      <c r="D174">
        <f t="shared" si="99"/>
        <v>397</v>
      </c>
      <c r="E174">
        <f t="shared" si="100"/>
        <v>685</v>
      </c>
      <c r="F174">
        <f t="shared" si="101"/>
        <v>135972</v>
      </c>
      <c r="G174" s="24">
        <f t="shared" si="102"/>
        <v>135058.39377099078</v>
      </c>
      <c r="H174" s="24">
        <f t="shared" si="103"/>
        <v>1.0067645275758155</v>
      </c>
      <c r="I174">
        <f t="shared" si="104"/>
        <v>343</v>
      </c>
      <c r="J174">
        <f t="shared" si="85"/>
        <v>117649</v>
      </c>
      <c r="K174" s="25">
        <f t="shared" si="84"/>
        <v>116964</v>
      </c>
      <c r="L174" s="24">
        <f t="shared" si="105"/>
        <v>1.0058565028555795</v>
      </c>
      <c r="M174">
        <f t="shared" si="106"/>
        <v>-18323</v>
      </c>
      <c r="N174" s="24">
        <f t="shared" si="107"/>
        <v>-9.0802472023598924E-4</v>
      </c>
    </row>
    <row r="175" spans="1:14" x14ac:dyDescent="0.25">
      <c r="A175">
        <v>172</v>
      </c>
      <c r="B175" s="27">
        <f t="shared" si="97"/>
        <v>198.27515926789792</v>
      </c>
      <c r="C175">
        <f t="shared" si="98"/>
        <v>199</v>
      </c>
      <c r="D175">
        <f t="shared" si="99"/>
        <v>399</v>
      </c>
      <c r="E175">
        <f t="shared" si="100"/>
        <v>689</v>
      </c>
      <c r="F175">
        <f t="shared" si="101"/>
        <v>137455</v>
      </c>
      <c r="G175" s="24">
        <f t="shared" si="102"/>
        <v>136642.64290964711</v>
      </c>
      <c r="H175" s="24">
        <f t="shared" si="103"/>
        <v>1.0059451213256323</v>
      </c>
      <c r="I175">
        <f t="shared" si="104"/>
        <v>345</v>
      </c>
      <c r="J175">
        <f t="shared" si="85"/>
        <v>119025</v>
      </c>
      <c r="K175" s="25">
        <f t="shared" si="84"/>
        <v>118336</v>
      </c>
      <c r="L175" s="24">
        <f t="shared" si="105"/>
        <v>1.0058224040021633</v>
      </c>
      <c r="M175">
        <f t="shared" si="106"/>
        <v>-18430</v>
      </c>
      <c r="N175" s="24">
        <f t="shared" si="107"/>
        <v>-1.2271732346902375E-4</v>
      </c>
    </row>
    <row r="176" spans="1:14" x14ac:dyDescent="0.25">
      <c r="A176">
        <v>173</v>
      </c>
      <c r="B176" s="27">
        <f t="shared" si="97"/>
        <v>199.42985980627716</v>
      </c>
      <c r="C176">
        <f t="shared" si="98"/>
        <v>200</v>
      </c>
      <c r="D176">
        <f t="shared" si="99"/>
        <v>401</v>
      </c>
      <c r="E176">
        <f t="shared" si="100"/>
        <v>693</v>
      </c>
      <c r="F176">
        <f t="shared" si="101"/>
        <v>138946</v>
      </c>
      <c r="G176" s="24">
        <f t="shared" si="102"/>
        <v>138236.12965261049</v>
      </c>
      <c r="H176" s="24">
        <f t="shared" si="103"/>
        <v>1.0051352012615908</v>
      </c>
      <c r="I176">
        <f t="shared" si="104"/>
        <v>347</v>
      </c>
      <c r="J176">
        <f t="shared" si="85"/>
        <v>120409</v>
      </c>
      <c r="K176" s="25">
        <f t="shared" si="84"/>
        <v>119716</v>
      </c>
      <c r="L176" s="24">
        <f t="shared" si="105"/>
        <v>1.0057886999231516</v>
      </c>
      <c r="M176">
        <f t="shared" si="106"/>
        <v>-18537</v>
      </c>
      <c r="N176" s="24">
        <f t="shared" si="107"/>
        <v>6.5349866156072522E-4</v>
      </c>
    </row>
    <row r="177" spans="1:14" x14ac:dyDescent="0.25">
      <c r="A177">
        <v>174</v>
      </c>
      <c r="B177" s="27">
        <f t="shared" si="97"/>
        <v>200.58456034465644</v>
      </c>
      <c r="C177">
        <f t="shared" si="98"/>
        <v>201</v>
      </c>
      <c r="D177">
        <f t="shared" si="99"/>
        <v>403</v>
      </c>
      <c r="E177">
        <f t="shared" si="100"/>
        <v>697</v>
      </c>
      <c r="F177">
        <f t="shared" si="101"/>
        <v>140445</v>
      </c>
      <c r="G177" s="24">
        <f t="shared" si="102"/>
        <v>139838.8539998809</v>
      </c>
      <c r="H177" s="24">
        <f t="shared" si="103"/>
        <v>1.0043346036010823</v>
      </c>
      <c r="I177">
        <f t="shared" si="104"/>
        <v>349</v>
      </c>
      <c r="J177">
        <f t="shared" si="85"/>
        <v>121801</v>
      </c>
      <c r="K177" s="25">
        <f t="shared" si="84"/>
        <v>121104</v>
      </c>
      <c r="L177" s="24">
        <f t="shared" si="105"/>
        <v>1.0057553838023516</v>
      </c>
      <c r="M177">
        <f t="shared" si="106"/>
        <v>-18644</v>
      </c>
      <c r="N177" s="24">
        <f t="shared" si="107"/>
        <v>1.4207802012693449E-3</v>
      </c>
    </row>
    <row r="178" spans="1:14" x14ac:dyDescent="0.25">
      <c r="A178">
        <v>175</v>
      </c>
      <c r="B178" s="27">
        <f t="shared" si="97"/>
        <v>201.73926088303566</v>
      </c>
      <c r="C178">
        <f t="shared" si="98"/>
        <v>202</v>
      </c>
      <c r="D178">
        <f t="shared" si="99"/>
        <v>405</v>
      </c>
      <c r="E178">
        <f t="shared" si="100"/>
        <v>701</v>
      </c>
      <c r="F178">
        <f t="shared" si="101"/>
        <v>141952</v>
      </c>
      <c r="G178" s="24">
        <f t="shared" si="102"/>
        <v>141450.81595145832</v>
      </c>
      <c r="H178" s="24">
        <f t="shared" si="103"/>
        <v>1.0035431683102745</v>
      </c>
      <c r="I178">
        <f t="shared" si="104"/>
        <v>351</v>
      </c>
      <c r="J178">
        <f t="shared" si="85"/>
        <v>123201</v>
      </c>
      <c r="K178" s="25">
        <f t="shared" si="84"/>
        <v>122500</v>
      </c>
      <c r="L178" s="24">
        <f t="shared" si="105"/>
        <v>1.0057224489795917</v>
      </c>
      <c r="M178">
        <f t="shared" si="106"/>
        <v>-18751</v>
      </c>
      <c r="N178" s="24">
        <f t="shared" si="107"/>
        <v>2.1792806693172739E-3</v>
      </c>
    </row>
    <row r="179" spans="1:14" x14ac:dyDescent="0.25">
      <c r="A179">
        <v>176</v>
      </c>
      <c r="B179" s="27">
        <f t="shared" si="97"/>
        <v>202.89396142141493</v>
      </c>
      <c r="C179">
        <f t="shared" si="98"/>
        <v>203</v>
      </c>
      <c r="D179">
        <f t="shared" si="99"/>
        <v>407</v>
      </c>
      <c r="E179">
        <f t="shared" si="100"/>
        <v>705</v>
      </c>
      <c r="F179">
        <f t="shared" si="101"/>
        <v>143467</v>
      </c>
      <c r="G179" s="24">
        <f t="shared" si="102"/>
        <v>143072.01550734279</v>
      </c>
      <c r="H179" s="24">
        <f t="shared" si="103"/>
        <v>1.0027607389974662</v>
      </c>
      <c r="I179">
        <f t="shared" si="104"/>
        <v>353</v>
      </c>
      <c r="J179">
        <f t="shared" si="85"/>
        <v>124609</v>
      </c>
      <c r="K179" s="25">
        <f t="shared" si="84"/>
        <v>123904</v>
      </c>
      <c r="L179" s="24">
        <f t="shared" si="105"/>
        <v>1.0056898889462811</v>
      </c>
      <c r="M179">
        <f t="shared" si="106"/>
        <v>-18858</v>
      </c>
      <c r="N179" s="24">
        <f t="shared" si="107"/>
        <v>2.9291499488148798E-3</v>
      </c>
    </row>
    <row r="180" spans="1:14" x14ac:dyDescent="0.25">
      <c r="A180">
        <v>177</v>
      </c>
      <c r="B180" s="27">
        <f t="shared" si="97"/>
        <v>204.0486619597942</v>
      </c>
      <c r="C180">
        <f t="shared" si="98"/>
        <v>205</v>
      </c>
      <c r="D180">
        <f t="shared" si="99"/>
        <v>411</v>
      </c>
      <c r="E180">
        <f t="shared" si="100"/>
        <v>709</v>
      </c>
      <c r="F180">
        <f t="shared" si="101"/>
        <v>145699</v>
      </c>
      <c r="G180" s="24">
        <f t="shared" si="102"/>
        <v>144702.45266753429</v>
      </c>
      <c r="H180" s="24">
        <f t="shared" si="103"/>
        <v>1.0068868724343971</v>
      </c>
      <c r="I180">
        <f t="shared" si="104"/>
        <v>355</v>
      </c>
      <c r="J180">
        <f t="shared" si="85"/>
        <v>126025</v>
      </c>
      <c r="K180" s="25">
        <f t="shared" si="84"/>
        <v>125316</v>
      </c>
      <c r="L180" s="24">
        <f t="shared" si="105"/>
        <v>1.0056576973411215</v>
      </c>
      <c r="M180">
        <f t="shared" si="106"/>
        <v>-19674</v>
      </c>
      <c r="N180" s="24">
        <f t="shared" si="107"/>
        <v>-1.2291750932755807E-3</v>
      </c>
    </row>
    <row r="181" spans="1:14" x14ac:dyDescent="0.25">
      <c r="A181">
        <v>178</v>
      </c>
      <c r="B181" s="27">
        <f t="shared" si="97"/>
        <v>205.20336249817342</v>
      </c>
      <c r="C181">
        <f t="shared" si="98"/>
        <v>206</v>
      </c>
      <c r="D181">
        <f t="shared" si="99"/>
        <v>413</v>
      </c>
      <c r="E181">
        <f t="shared" si="100"/>
        <v>713</v>
      </c>
      <c r="F181">
        <f t="shared" si="101"/>
        <v>147234</v>
      </c>
      <c r="G181" s="24">
        <f t="shared" si="102"/>
        <v>146342.12743203284</v>
      </c>
      <c r="H181" s="24">
        <f t="shared" si="103"/>
        <v>1.0060944348945684</v>
      </c>
      <c r="I181">
        <f t="shared" si="104"/>
        <v>357</v>
      </c>
      <c r="J181">
        <f t="shared" si="85"/>
        <v>127449</v>
      </c>
      <c r="K181" s="25">
        <f t="shared" si="84"/>
        <v>126736</v>
      </c>
      <c r="L181" s="24">
        <f t="shared" si="105"/>
        <v>1.0056258679459664</v>
      </c>
      <c r="M181">
        <f t="shared" si="106"/>
        <v>-19785</v>
      </c>
      <c r="N181" s="24">
        <f t="shared" si="107"/>
        <v>-4.6856694860197834E-4</v>
      </c>
    </row>
    <row r="182" spans="1:14" x14ac:dyDescent="0.25">
      <c r="A182">
        <v>179</v>
      </c>
      <c r="B182" s="27">
        <f t="shared" si="97"/>
        <v>206.35806303655269</v>
      </c>
      <c r="C182">
        <f t="shared" si="98"/>
        <v>207</v>
      </c>
      <c r="D182">
        <f t="shared" si="99"/>
        <v>415</v>
      </c>
      <c r="E182">
        <f t="shared" si="100"/>
        <v>717</v>
      </c>
      <c r="F182">
        <f t="shared" si="101"/>
        <v>148777</v>
      </c>
      <c r="G182" s="24">
        <f t="shared" si="102"/>
        <v>147991.03980083839</v>
      </c>
      <c r="H182" s="24">
        <f t="shared" si="103"/>
        <v>1.0053108634159158</v>
      </c>
      <c r="I182">
        <f t="shared" si="104"/>
        <v>359</v>
      </c>
      <c r="J182">
        <f t="shared" si="85"/>
        <v>128881</v>
      </c>
      <c r="K182" s="25">
        <f t="shared" si="84"/>
        <v>128164</v>
      </c>
      <c r="L182" s="24">
        <f t="shared" si="105"/>
        <v>1.005594394681814</v>
      </c>
      <c r="M182">
        <f t="shared" si="106"/>
        <v>-19896</v>
      </c>
      <c r="N182" s="24">
        <f t="shared" si="107"/>
        <v>2.8353126589819588E-4</v>
      </c>
    </row>
    <row r="183" spans="1:14" x14ac:dyDescent="0.25">
      <c r="A183">
        <v>180</v>
      </c>
      <c r="B183" s="27">
        <f t="shared" si="97"/>
        <v>207.51276357493194</v>
      </c>
      <c r="C183">
        <f t="shared" si="98"/>
        <v>208</v>
      </c>
      <c r="D183">
        <f t="shared" si="99"/>
        <v>417</v>
      </c>
      <c r="E183">
        <f t="shared" si="100"/>
        <v>721</v>
      </c>
      <c r="F183">
        <f t="shared" si="101"/>
        <v>150328</v>
      </c>
      <c r="G183" s="24">
        <f t="shared" si="102"/>
        <v>149649.18977395102</v>
      </c>
      <c r="H183" s="24">
        <f t="shared" si="103"/>
        <v>1.0045360100316905</v>
      </c>
      <c r="I183">
        <f t="shared" si="104"/>
        <v>361</v>
      </c>
      <c r="J183">
        <f t="shared" si="85"/>
        <v>130321</v>
      </c>
      <c r="K183" s="25">
        <f t="shared" si="84"/>
        <v>129600</v>
      </c>
      <c r="L183" s="24">
        <f t="shared" si="105"/>
        <v>1.0055632716049383</v>
      </c>
      <c r="M183">
        <f t="shared" si="106"/>
        <v>-20007</v>
      </c>
      <c r="N183" s="24">
        <f t="shared" si="107"/>
        <v>1.0272615732478396E-3</v>
      </c>
    </row>
    <row r="184" spans="1:14" x14ac:dyDescent="0.25">
      <c r="A184">
        <v>181</v>
      </c>
      <c r="B184" s="27">
        <f t="shared" si="97"/>
        <v>208.66746411331118</v>
      </c>
      <c r="C184">
        <f t="shared" si="98"/>
        <v>209</v>
      </c>
      <c r="D184">
        <f t="shared" si="99"/>
        <v>419</v>
      </c>
      <c r="E184">
        <f t="shared" si="100"/>
        <v>725</v>
      </c>
      <c r="F184">
        <f t="shared" si="101"/>
        <v>151887</v>
      </c>
      <c r="G184" s="24">
        <f t="shared" si="102"/>
        <v>151316.57735137065</v>
      </c>
      <c r="H184" s="24">
        <f t="shared" si="103"/>
        <v>1.0037697300495025</v>
      </c>
      <c r="I184">
        <f t="shared" si="104"/>
        <v>363</v>
      </c>
      <c r="J184">
        <f t="shared" si="85"/>
        <v>131769</v>
      </c>
      <c r="K184" s="25">
        <f t="shared" si="84"/>
        <v>131044</v>
      </c>
      <c r="L184" s="24">
        <f t="shared" si="105"/>
        <v>1.0055324929031471</v>
      </c>
      <c r="M184">
        <f t="shared" si="106"/>
        <v>-20118</v>
      </c>
      <c r="N184" s="24">
        <f t="shared" si="107"/>
        <v>1.7627628536445172E-3</v>
      </c>
    </row>
    <row r="185" spans="1:14" x14ac:dyDescent="0.25">
      <c r="A185">
        <v>182</v>
      </c>
      <c r="B185" s="27">
        <f t="shared" si="97"/>
        <v>209.82216465169043</v>
      </c>
      <c r="C185">
        <f t="shared" si="98"/>
        <v>210</v>
      </c>
      <c r="D185">
        <f t="shared" si="99"/>
        <v>421</v>
      </c>
      <c r="E185">
        <f t="shared" si="100"/>
        <v>729</v>
      </c>
      <c r="F185">
        <f t="shared" si="101"/>
        <v>153454</v>
      </c>
      <c r="G185" s="24">
        <f t="shared" si="102"/>
        <v>152993.20253309733</v>
      </c>
      <c r="H185" s="24">
        <f t="shared" si="103"/>
        <v>1.0030118819612459</v>
      </c>
      <c r="I185">
        <f t="shared" si="104"/>
        <v>365</v>
      </c>
      <c r="J185">
        <f t="shared" si="85"/>
        <v>133225</v>
      </c>
      <c r="K185" s="25">
        <f t="shared" si="84"/>
        <v>132496</v>
      </c>
      <c r="L185" s="24">
        <f t="shared" si="105"/>
        <v>1.0055020528921628</v>
      </c>
      <c r="M185">
        <f t="shared" si="106"/>
        <v>-20229</v>
      </c>
      <c r="N185" s="24">
        <f t="shared" si="107"/>
        <v>2.4901709309168574E-3</v>
      </c>
    </row>
    <row r="186" spans="1:14" x14ac:dyDescent="0.25">
      <c r="A186">
        <v>183</v>
      </c>
      <c r="B186" s="27">
        <f t="shared" si="97"/>
        <v>210.9768651900697</v>
      </c>
      <c r="C186">
        <f t="shared" si="98"/>
        <v>211</v>
      </c>
      <c r="D186">
        <f t="shared" si="99"/>
        <v>423</v>
      </c>
      <c r="E186">
        <f t="shared" si="100"/>
        <v>733</v>
      </c>
      <c r="F186">
        <f t="shared" si="101"/>
        <v>155029</v>
      </c>
      <c r="G186" s="24">
        <f t="shared" si="102"/>
        <v>154679.06531913104</v>
      </c>
      <c r="H186" s="24">
        <f t="shared" si="103"/>
        <v>1.0022623273559805</v>
      </c>
      <c r="I186">
        <f t="shared" si="104"/>
        <v>367</v>
      </c>
      <c r="J186">
        <f t="shared" si="85"/>
        <v>134689</v>
      </c>
      <c r="K186" s="25">
        <f t="shared" si="84"/>
        <v>133956</v>
      </c>
      <c r="L186" s="24">
        <f t="shared" si="105"/>
        <v>1.0054719460121233</v>
      </c>
      <c r="M186">
        <f t="shared" si="106"/>
        <v>-20340</v>
      </c>
      <c r="N186" s="24">
        <f t="shared" si="107"/>
        <v>3.2096186561427764E-3</v>
      </c>
    </row>
    <row r="187" spans="1:14" x14ac:dyDescent="0.25">
      <c r="A187">
        <v>184</v>
      </c>
      <c r="B187" s="27">
        <f t="shared" ref="B187:B250" si="108">(A187*SQRT(3)*2+2)/3-1</f>
        <v>212.13156572844892</v>
      </c>
      <c r="C187">
        <f t="shared" ref="C187:C250" si="109">CEILING(B187,1)</f>
        <v>213</v>
      </c>
      <c r="D187">
        <f t="shared" ref="D187:D250" si="110">2*C187+1</f>
        <v>427</v>
      </c>
      <c r="E187">
        <f t="shared" ref="E187:E250" si="111">4*A187+1</f>
        <v>737</v>
      </c>
      <c r="F187">
        <f t="shared" ref="F187:F250" si="112">((D187*E187)-1)/2</f>
        <v>157349</v>
      </c>
      <c r="G187" s="24">
        <f t="shared" ref="G187:G250" si="113">(2*A187)*(2*A187)/G$2</f>
        <v>156374.16570947177</v>
      </c>
      <c r="H187" s="24">
        <f t="shared" ref="H187:H250" si="114">F187/G187</f>
        <v>1.0062339855570477</v>
      </c>
      <c r="I187">
        <f t="shared" ref="I187:I250" si="115">A187*2+1</f>
        <v>369</v>
      </c>
      <c r="J187">
        <f t="shared" si="85"/>
        <v>136161</v>
      </c>
      <c r="K187" s="25">
        <f t="shared" si="84"/>
        <v>135424</v>
      </c>
      <c r="L187" s="24">
        <f t="shared" ref="L187:L250" si="116">J187/K187</f>
        <v>1.0054421668241966</v>
      </c>
      <c r="M187">
        <f t="shared" ref="M187:M250" si="117">J187-F187</f>
        <v>-21188</v>
      </c>
      <c r="N187" s="24">
        <f t="shared" ref="N187:N250" si="118">L187-H187</f>
        <v>-7.9181873285105731E-4</v>
      </c>
    </row>
    <row r="188" spans="1:14" x14ac:dyDescent="0.25">
      <c r="A188">
        <v>185</v>
      </c>
      <c r="B188" s="27">
        <f t="shared" si="108"/>
        <v>213.28626626682819</v>
      </c>
      <c r="C188">
        <f t="shared" si="109"/>
        <v>214</v>
      </c>
      <c r="D188">
        <f t="shared" si="110"/>
        <v>429</v>
      </c>
      <c r="E188">
        <f t="shared" si="111"/>
        <v>741</v>
      </c>
      <c r="F188">
        <f t="shared" si="112"/>
        <v>158944</v>
      </c>
      <c r="G188" s="24">
        <f t="shared" si="113"/>
        <v>158078.50370411953</v>
      </c>
      <c r="H188" s="24">
        <f t="shared" si="114"/>
        <v>1.0054751043032419</v>
      </c>
      <c r="I188">
        <f t="shared" si="115"/>
        <v>371</v>
      </c>
      <c r="J188">
        <f t="shared" si="85"/>
        <v>137641</v>
      </c>
      <c r="K188" s="25">
        <f t="shared" si="84"/>
        <v>136900</v>
      </c>
      <c r="L188" s="24">
        <f t="shared" si="116"/>
        <v>1.0054127100073047</v>
      </c>
      <c r="M188">
        <f t="shared" si="117"/>
        <v>-21303</v>
      </c>
      <c r="N188" s="24">
        <f t="shared" si="118"/>
        <v>-6.2394295937240329E-5</v>
      </c>
    </row>
    <row r="189" spans="1:14" x14ac:dyDescent="0.25">
      <c r="A189">
        <v>186</v>
      </c>
      <c r="B189" s="27">
        <f t="shared" si="108"/>
        <v>214.44096680520747</v>
      </c>
      <c r="C189">
        <f t="shared" si="109"/>
        <v>215</v>
      </c>
      <c r="D189">
        <f t="shared" si="110"/>
        <v>431</v>
      </c>
      <c r="E189">
        <f t="shared" si="111"/>
        <v>745</v>
      </c>
      <c r="F189">
        <f t="shared" si="112"/>
        <v>160547</v>
      </c>
      <c r="G189" s="24">
        <f t="shared" si="113"/>
        <v>159792.07930307437</v>
      </c>
      <c r="H189" s="24">
        <f t="shared" si="114"/>
        <v>1.0047243937260106</v>
      </c>
      <c r="I189">
        <f t="shared" si="115"/>
        <v>373</v>
      </c>
      <c r="J189">
        <f t="shared" si="85"/>
        <v>139129</v>
      </c>
      <c r="K189" s="25">
        <f t="shared" si="84"/>
        <v>138384</v>
      </c>
      <c r="L189" s="24">
        <f t="shared" si="116"/>
        <v>1.0053835703549543</v>
      </c>
      <c r="M189">
        <f t="shared" si="117"/>
        <v>-21418</v>
      </c>
      <c r="N189" s="24">
        <f t="shared" si="118"/>
        <v>6.5917662894365847E-4</v>
      </c>
    </row>
    <row r="190" spans="1:14" x14ac:dyDescent="0.25">
      <c r="A190">
        <v>187</v>
      </c>
      <c r="B190" s="27">
        <f t="shared" si="108"/>
        <v>215.59566734358668</v>
      </c>
      <c r="C190">
        <f t="shared" si="109"/>
        <v>216</v>
      </c>
      <c r="D190">
        <f t="shared" si="110"/>
        <v>433</v>
      </c>
      <c r="E190">
        <f t="shared" si="111"/>
        <v>749</v>
      </c>
      <c r="F190">
        <f t="shared" si="112"/>
        <v>162158</v>
      </c>
      <c r="G190" s="24">
        <f t="shared" si="113"/>
        <v>161514.89250633618</v>
      </c>
      <c r="H190" s="24">
        <f t="shared" si="114"/>
        <v>1.0039817225748306</v>
      </c>
      <c r="I190">
        <f t="shared" si="115"/>
        <v>375</v>
      </c>
      <c r="J190">
        <f t="shared" si="85"/>
        <v>140625</v>
      </c>
      <c r="K190" s="25">
        <f t="shared" si="84"/>
        <v>139876</v>
      </c>
      <c r="L190" s="24">
        <f t="shared" si="116"/>
        <v>1.0053547427721696</v>
      </c>
      <c r="M190">
        <f t="shared" si="117"/>
        <v>-21533</v>
      </c>
      <c r="N190" s="24">
        <f t="shared" si="118"/>
        <v>1.3730201973389811E-3</v>
      </c>
    </row>
    <row r="191" spans="1:14" x14ac:dyDescent="0.25">
      <c r="A191">
        <v>188</v>
      </c>
      <c r="B191" s="27">
        <f t="shared" si="108"/>
        <v>216.75036788196596</v>
      </c>
      <c r="C191">
        <f t="shared" si="109"/>
        <v>217</v>
      </c>
      <c r="D191">
        <f t="shared" si="110"/>
        <v>435</v>
      </c>
      <c r="E191">
        <f t="shared" si="111"/>
        <v>753</v>
      </c>
      <c r="F191">
        <f t="shared" si="112"/>
        <v>163777</v>
      </c>
      <c r="G191" s="24">
        <f t="shared" si="113"/>
        <v>163246.94331390507</v>
      </c>
      <c r="H191" s="24">
        <f t="shared" si="114"/>
        <v>1.0032469623953431</v>
      </c>
      <c r="I191">
        <f t="shared" si="115"/>
        <v>377</v>
      </c>
      <c r="J191">
        <f t="shared" si="85"/>
        <v>142129</v>
      </c>
      <c r="K191" s="25">
        <f t="shared" si="84"/>
        <v>141376</v>
      </c>
      <c r="L191" s="24">
        <f t="shared" si="116"/>
        <v>1.0053262222725214</v>
      </c>
      <c r="M191">
        <f t="shared" si="117"/>
        <v>-21648</v>
      </c>
      <c r="N191" s="24">
        <f t="shared" si="118"/>
        <v>2.0792598771783855E-3</v>
      </c>
    </row>
    <row r="192" spans="1:14" x14ac:dyDescent="0.25">
      <c r="A192">
        <v>189</v>
      </c>
      <c r="B192" s="27">
        <f t="shared" si="108"/>
        <v>217.9050684203452</v>
      </c>
      <c r="C192">
        <f t="shared" si="109"/>
        <v>218</v>
      </c>
      <c r="D192">
        <f t="shared" si="110"/>
        <v>437</v>
      </c>
      <c r="E192">
        <f t="shared" si="111"/>
        <v>757</v>
      </c>
      <c r="F192">
        <f t="shared" si="112"/>
        <v>165404</v>
      </c>
      <c r="G192" s="24">
        <f t="shared" si="113"/>
        <v>164988.23172578099</v>
      </c>
      <c r="H192" s="24">
        <f t="shared" si="114"/>
        <v>1.0025199874552873</v>
      </c>
      <c r="I192">
        <f t="shared" si="115"/>
        <v>379</v>
      </c>
      <c r="J192">
        <f t="shared" si="85"/>
        <v>143641</v>
      </c>
      <c r="K192" s="25">
        <f t="shared" si="84"/>
        <v>142884</v>
      </c>
      <c r="L192" s="24">
        <f t="shared" si="116"/>
        <v>1.0052980039752526</v>
      </c>
      <c r="M192">
        <f t="shared" si="117"/>
        <v>-21763</v>
      </c>
      <c r="N192" s="24">
        <f t="shared" si="118"/>
        <v>2.7780165199653428E-3</v>
      </c>
    </row>
    <row r="193" spans="1:14" x14ac:dyDescent="0.25">
      <c r="A193">
        <v>190</v>
      </c>
      <c r="B193" s="27">
        <f t="shared" si="108"/>
        <v>219.05976895872445</v>
      </c>
      <c r="C193">
        <f t="shared" si="109"/>
        <v>220</v>
      </c>
      <c r="D193">
        <f t="shared" si="110"/>
        <v>441</v>
      </c>
      <c r="E193">
        <f t="shared" si="111"/>
        <v>761</v>
      </c>
      <c r="F193">
        <f t="shared" si="112"/>
        <v>167800</v>
      </c>
      <c r="G193" s="24">
        <f t="shared" si="113"/>
        <v>166738.75774196393</v>
      </c>
      <c r="H193" s="24">
        <f t="shared" si="114"/>
        <v>1.0063647005195899</v>
      </c>
      <c r="I193">
        <f t="shared" si="115"/>
        <v>381</v>
      </c>
      <c r="J193">
        <f t="shared" si="85"/>
        <v>145161</v>
      </c>
      <c r="K193" s="25">
        <f t="shared" si="84"/>
        <v>144400</v>
      </c>
      <c r="L193" s="24">
        <f t="shared" si="116"/>
        <v>1.005270083102493</v>
      </c>
      <c r="M193">
        <f t="shared" si="117"/>
        <v>-22639</v>
      </c>
      <c r="N193" s="24">
        <f t="shared" si="118"/>
        <v>-1.0946174170969325E-3</v>
      </c>
    </row>
    <row r="194" spans="1:14" x14ac:dyDescent="0.25">
      <c r="A194">
        <v>191</v>
      </c>
      <c r="B194" s="27">
        <f t="shared" si="108"/>
        <v>220.21446949710369</v>
      </c>
      <c r="C194">
        <f t="shared" si="109"/>
        <v>221</v>
      </c>
      <c r="D194">
        <f t="shared" si="110"/>
        <v>443</v>
      </c>
      <c r="E194">
        <f t="shared" si="111"/>
        <v>765</v>
      </c>
      <c r="F194">
        <f t="shared" si="112"/>
        <v>169447</v>
      </c>
      <c r="G194" s="24">
        <f t="shared" si="113"/>
        <v>168498.5213624539</v>
      </c>
      <c r="H194" s="24">
        <f t="shared" si="114"/>
        <v>1.0056290027347234</v>
      </c>
      <c r="I194">
        <f t="shared" si="115"/>
        <v>383</v>
      </c>
      <c r="J194">
        <f t="shared" si="85"/>
        <v>146689</v>
      </c>
      <c r="K194" s="25">
        <f t="shared" si="84"/>
        <v>145924</v>
      </c>
      <c r="L194" s="24">
        <f t="shared" si="116"/>
        <v>1.0052424549765631</v>
      </c>
      <c r="M194">
        <f t="shared" si="117"/>
        <v>-22758</v>
      </c>
      <c r="N194" s="24">
        <f t="shared" si="118"/>
        <v>-3.8654775816038267E-4</v>
      </c>
    </row>
    <row r="195" spans="1:14" x14ac:dyDescent="0.25">
      <c r="A195">
        <v>192</v>
      </c>
      <c r="B195" s="27">
        <f t="shared" si="108"/>
        <v>221.36917003548297</v>
      </c>
      <c r="C195">
        <f t="shared" si="109"/>
        <v>222</v>
      </c>
      <c r="D195">
        <f t="shared" si="110"/>
        <v>445</v>
      </c>
      <c r="E195">
        <f t="shared" si="111"/>
        <v>769</v>
      </c>
      <c r="F195">
        <f t="shared" si="112"/>
        <v>171102</v>
      </c>
      <c r="G195" s="24">
        <f t="shared" si="113"/>
        <v>170267.52258725092</v>
      </c>
      <c r="H195" s="24">
        <f t="shared" si="114"/>
        <v>1.004900978178745</v>
      </c>
      <c r="I195">
        <f t="shared" si="115"/>
        <v>385</v>
      </c>
      <c r="J195">
        <f t="shared" si="85"/>
        <v>148225</v>
      </c>
      <c r="K195" s="25">
        <f t="shared" si="84"/>
        <v>147456</v>
      </c>
      <c r="L195" s="24">
        <f t="shared" si="116"/>
        <v>1.0052151150173612</v>
      </c>
      <c r="M195">
        <f t="shared" si="117"/>
        <v>-22877</v>
      </c>
      <c r="N195" s="24">
        <f t="shared" si="118"/>
        <v>3.1413683861614139E-4</v>
      </c>
    </row>
    <row r="196" spans="1:14" x14ac:dyDescent="0.25">
      <c r="A196">
        <v>193</v>
      </c>
      <c r="B196" s="27">
        <f t="shared" si="108"/>
        <v>222.52387057386218</v>
      </c>
      <c r="C196">
        <f t="shared" si="109"/>
        <v>223</v>
      </c>
      <c r="D196">
        <f t="shared" si="110"/>
        <v>447</v>
      </c>
      <c r="E196">
        <f t="shared" si="111"/>
        <v>773</v>
      </c>
      <c r="F196">
        <f t="shared" si="112"/>
        <v>172765</v>
      </c>
      <c r="G196" s="24">
        <f t="shared" si="113"/>
        <v>172045.76141635497</v>
      </c>
      <c r="H196" s="24">
        <f t="shared" si="114"/>
        <v>1.0041805074285117</v>
      </c>
      <c r="I196">
        <f t="shared" si="115"/>
        <v>387</v>
      </c>
      <c r="J196">
        <f t="shared" si="85"/>
        <v>149769</v>
      </c>
      <c r="K196" s="25">
        <f t="shared" si="84"/>
        <v>148996</v>
      </c>
      <c r="L196" s="24">
        <f t="shared" si="116"/>
        <v>1.0051880587398319</v>
      </c>
      <c r="M196">
        <f t="shared" si="117"/>
        <v>-22996</v>
      </c>
      <c r="N196" s="24">
        <f t="shared" si="118"/>
        <v>1.0075513113201318E-3</v>
      </c>
    </row>
    <row r="197" spans="1:14" x14ac:dyDescent="0.25">
      <c r="A197">
        <v>194</v>
      </c>
      <c r="B197" s="27">
        <f t="shared" si="108"/>
        <v>223.67857111224146</v>
      </c>
      <c r="C197">
        <f t="shared" si="109"/>
        <v>224</v>
      </c>
      <c r="D197">
        <f t="shared" si="110"/>
        <v>449</v>
      </c>
      <c r="E197">
        <f t="shared" si="111"/>
        <v>777</v>
      </c>
      <c r="F197">
        <f t="shared" si="112"/>
        <v>174436</v>
      </c>
      <c r="G197" s="24">
        <f t="shared" si="113"/>
        <v>173833.23784976604</v>
      </c>
      <c r="H197" s="24">
        <f t="shared" si="114"/>
        <v>1.0034674735262936</v>
      </c>
      <c r="I197">
        <f t="shared" si="115"/>
        <v>389</v>
      </c>
      <c r="J197">
        <f t="shared" si="85"/>
        <v>151321</v>
      </c>
      <c r="K197" s="25">
        <f t="shared" ref="K197:K259" si="119">(2*$A197)*(2*$A197)/K$2</f>
        <v>150544</v>
      </c>
      <c r="L197" s="24">
        <f t="shared" si="116"/>
        <v>1.0051612817515145</v>
      </c>
      <c r="M197">
        <f t="shared" si="117"/>
        <v>-23115</v>
      </c>
      <c r="N197" s="24">
        <f t="shared" si="118"/>
        <v>1.6938082252209163E-3</v>
      </c>
    </row>
    <row r="198" spans="1:14" x14ac:dyDescent="0.25">
      <c r="A198">
        <v>195</v>
      </c>
      <c r="B198" s="27">
        <f t="shared" si="108"/>
        <v>224.83327165062067</v>
      </c>
      <c r="C198">
        <f t="shared" si="109"/>
        <v>225</v>
      </c>
      <c r="D198">
        <f t="shared" si="110"/>
        <v>451</v>
      </c>
      <c r="E198">
        <f t="shared" si="111"/>
        <v>781</v>
      </c>
      <c r="F198">
        <f t="shared" si="112"/>
        <v>176115</v>
      </c>
      <c r="G198" s="24">
        <f t="shared" si="113"/>
        <v>175629.95188748417</v>
      </c>
      <c r="H198" s="24">
        <f t="shared" si="114"/>
        <v>1.0027617619164786</v>
      </c>
      <c r="I198">
        <f t="shared" si="115"/>
        <v>391</v>
      </c>
      <c r="J198">
        <f t="shared" si="85"/>
        <v>152881</v>
      </c>
      <c r="K198" s="25">
        <f t="shared" si="119"/>
        <v>152100</v>
      </c>
      <c r="L198" s="24">
        <f t="shared" si="116"/>
        <v>1.0051347797501644</v>
      </c>
      <c r="M198">
        <f t="shared" si="117"/>
        <v>-23234</v>
      </c>
      <c r="N198" s="24">
        <f t="shared" si="118"/>
        <v>2.3730178336858199E-3</v>
      </c>
    </row>
    <row r="199" spans="1:14" x14ac:dyDescent="0.25">
      <c r="A199">
        <v>196</v>
      </c>
      <c r="B199" s="27">
        <f t="shared" si="108"/>
        <v>225.98797218899995</v>
      </c>
      <c r="C199">
        <f t="shared" si="109"/>
        <v>226</v>
      </c>
      <c r="D199">
        <f t="shared" si="110"/>
        <v>453</v>
      </c>
      <c r="E199">
        <f t="shared" si="111"/>
        <v>785</v>
      </c>
      <c r="F199">
        <f t="shared" si="112"/>
        <v>177802</v>
      </c>
      <c r="G199" s="24">
        <f t="shared" si="113"/>
        <v>177435.90352950932</v>
      </c>
      <c r="H199" s="24">
        <f t="shared" si="114"/>
        <v>1.0020632603842199</v>
      </c>
      <c r="I199">
        <f t="shared" si="115"/>
        <v>393</v>
      </c>
      <c r="J199">
        <f t="shared" si="85"/>
        <v>154449</v>
      </c>
      <c r="K199" s="25">
        <f t="shared" si="119"/>
        <v>153664</v>
      </c>
      <c r="L199" s="24">
        <f t="shared" si="116"/>
        <v>1.0051085485214495</v>
      </c>
      <c r="M199">
        <f t="shared" si="117"/>
        <v>-23353</v>
      </c>
      <c r="N199" s="24">
        <f t="shared" si="118"/>
        <v>3.0452881372295959E-3</v>
      </c>
    </row>
    <row r="200" spans="1:14" x14ac:dyDescent="0.25">
      <c r="A200">
        <v>197</v>
      </c>
      <c r="B200" s="27">
        <f t="shared" si="108"/>
        <v>227.14267272737922</v>
      </c>
      <c r="C200">
        <f t="shared" si="109"/>
        <v>228</v>
      </c>
      <c r="D200">
        <f t="shared" si="110"/>
        <v>457</v>
      </c>
      <c r="E200">
        <f t="shared" si="111"/>
        <v>789</v>
      </c>
      <c r="F200">
        <f t="shared" si="112"/>
        <v>180286</v>
      </c>
      <c r="G200" s="24">
        <f t="shared" si="113"/>
        <v>179251.09277584151</v>
      </c>
      <c r="H200" s="24">
        <f t="shared" si="114"/>
        <v>1.005773505802013</v>
      </c>
      <c r="I200">
        <f t="shared" si="115"/>
        <v>395</v>
      </c>
      <c r="J200">
        <f t="shared" si="85"/>
        <v>156025</v>
      </c>
      <c r="K200" s="25">
        <f t="shared" si="119"/>
        <v>155236</v>
      </c>
      <c r="L200" s="24">
        <f t="shared" si="116"/>
        <v>1.0050825839367157</v>
      </c>
      <c r="M200">
        <f t="shared" si="117"/>
        <v>-24261</v>
      </c>
      <c r="N200" s="24">
        <f t="shared" si="118"/>
        <v>-6.9092186529728927E-4</v>
      </c>
    </row>
    <row r="201" spans="1:14" x14ac:dyDescent="0.25">
      <c r="A201">
        <v>198</v>
      </c>
      <c r="B201" s="27">
        <f t="shared" si="108"/>
        <v>228.29737326575844</v>
      </c>
      <c r="C201">
        <f t="shared" si="109"/>
        <v>229</v>
      </c>
      <c r="D201">
        <f t="shared" si="110"/>
        <v>459</v>
      </c>
      <c r="E201">
        <f t="shared" si="111"/>
        <v>793</v>
      </c>
      <c r="F201">
        <f t="shared" si="112"/>
        <v>181993</v>
      </c>
      <c r="G201" s="24">
        <f t="shared" si="113"/>
        <v>181075.51962648073</v>
      </c>
      <c r="H201" s="24">
        <f t="shared" si="114"/>
        <v>1.0050668382750569</v>
      </c>
      <c r="I201">
        <f t="shared" si="115"/>
        <v>397</v>
      </c>
      <c r="J201">
        <f t="shared" si="85"/>
        <v>157609</v>
      </c>
      <c r="K201" s="25">
        <f t="shared" si="119"/>
        <v>156816</v>
      </c>
      <c r="L201" s="24">
        <f t="shared" si="116"/>
        <v>1.0050568819508214</v>
      </c>
      <c r="M201">
        <f t="shared" si="117"/>
        <v>-24384</v>
      </c>
      <c r="N201" s="24">
        <f t="shared" si="118"/>
        <v>-9.9563242355049653E-6</v>
      </c>
    </row>
    <row r="202" spans="1:14" x14ac:dyDescent="0.25">
      <c r="A202">
        <v>199</v>
      </c>
      <c r="B202" s="27">
        <f t="shared" si="108"/>
        <v>229.45207380413771</v>
      </c>
      <c r="C202">
        <f t="shared" si="109"/>
        <v>230</v>
      </c>
      <c r="D202">
        <f t="shared" si="110"/>
        <v>461</v>
      </c>
      <c r="E202">
        <f t="shared" si="111"/>
        <v>797</v>
      </c>
      <c r="F202">
        <f t="shared" si="112"/>
        <v>183708</v>
      </c>
      <c r="G202" s="24">
        <f t="shared" si="113"/>
        <v>182909.18408142697</v>
      </c>
      <c r="H202" s="24">
        <f t="shared" si="114"/>
        <v>1.0043672816244011</v>
      </c>
      <c r="I202">
        <f t="shared" si="115"/>
        <v>399</v>
      </c>
      <c r="J202">
        <f t="shared" si="85"/>
        <v>159201</v>
      </c>
      <c r="K202" s="25">
        <f t="shared" si="119"/>
        <v>158404</v>
      </c>
      <c r="L202" s="24">
        <f t="shared" si="116"/>
        <v>1.0050314386000354</v>
      </c>
      <c r="M202">
        <f t="shared" si="117"/>
        <v>-24507</v>
      </c>
      <c r="N202" s="24">
        <f t="shared" si="118"/>
        <v>6.641569756342669E-4</v>
      </c>
    </row>
    <row r="203" spans="1:14" x14ac:dyDescent="0.25">
      <c r="A203">
        <v>200</v>
      </c>
      <c r="B203" s="27">
        <f t="shared" si="108"/>
        <v>230.60677434251696</v>
      </c>
      <c r="C203">
        <f t="shared" si="109"/>
        <v>231</v>
      </c>
      <c r="D203">
        <f t="shared" si="110"/>
        <v>463</v>
      </c>
      <c r="E203">
        <f t="shared" si="111"/>
        <v>801</v>
      </c>
      <c r="F203">
        <f t="shared" si="112"/>
        <v>185431</v>
      </c>
      <c r="G203" s="24">
        <f t="shared" si="113"/>
        <v>184752.08614068024</v>
      </c>
      <c r="H203" s="24">
        <f t="shared" si="114"/>
        <v>1.0036747290572015</v>
      </c>
      <c r="I203">
        <f t="shared" si="115"/>
        <v>401</v>
      </c>
      <c r="J203">
        <f t="shared" si="85"/>
        <v>160801</v>
      </c>
      <c r="K203" s="25">
        <f t="shared" si="119"/>
        <v>160000</v>
      </c>
      <c r="L203" s="24">
        <f t="shared" si="116"/>
        <v>1.0050062500000001</v>
      </c>
      <c r="M203">
        <f t="shared" si="117"/>
        <v>-24630</v>
      </c>
      <c r="N203" s="24">
        <f t="shared" si="118"/>
        <v>1.3315209427986474E-3</v>
      </c>
    </row>
    <row r="204" spans="1:14" x14ac:dyDescent="0.25">
      <c r="A204">
        <v>201</v>
      </c>
      <c r="B204" s="27">
        <f t="shared" si="108"/>
        <v>231.7614748808962</v>
      </c>
      <c r="C204">
        <f t="shared" si="109"/>
        <v>232</v>
      </c>
      <c r="D204">
        <f t="shared" si="110"/>
        <v>465</v>
      </c>
      <c r="E204">
        <f t="shared" si="111"/>
        <v>805</v>
      </c>
      <c r="F204">
        <f t="shared" si="112"/>
        <v>187162</v>
      </c>
      <c r="G204" s="24">
        <f t="shared" si="113"/>
        <v>186604.22580424059</v>
      </c>
      <c r="H204" s="24">
        <f t="shared" si="114"/>
        <v>1.0029890759084124</v>
      </c>
      <c r="I204">
        <f t="shared" si="115"/>
        <v>403</v>
      </c>
      <c r="J204">
        <f t="shared" si="85"/>
        <v>162409</v>
      </c>
      <c r="K204" s="25">
        <f t="shared" si="119"/>
        <v>161604</v>
      </c>
      <c r="L204" s="24">
        <f t="shared" si="116"/>
        <v>1.0049813123437539</v>
      </c>
      <c r="M204">
        <f t="shared" si="117"/>
        <v>-24753</v>
      </c>
      <c r="N204" s="24">
        <f t="shared" si="118"/>
        <v>1.9922364353415212E-3</v>
      </c>
    </row>
    <row r="205" spans="1:14" x14ac:dyDescent="0.25">
      <c r="A205">
        <v>202</v>
      </c>
      <c r="B205" s="27">
        <f t="shared" si="108"/>
        <v>232.91617541927545</v>
      </c>
      <c r="C205">
        <f t="shared" si="109"/>
        <v>233</v>
      </c>
      <c r="D205">
        <f t="shared" si="110"/>
        <v>467</v>
      </c>
      <c r="E205">
        <f t="shared" si="111"/>
        <v>809</v>
      </c>
      <c r="F205">
        <f t="shared" si="112"/>
        <v>188901</v>
      </c>
      <c r="G205" s="24">
        <f t="shared" si="113"/>
        <v>188465.60307210792</v>
      </c>
      <c r="H205" s="24">
        <f t="shared" si="114"/>
        <v>1.0023102195880567</v>
      </c>
      <c r="I205">
        <f t="shared" si="115"/>
        <v>405</v>
      </c>
      <c r="J205">
        <f t="shared" si="85"/>
        <v>164025</v>
      </c>
      <c r="K205" s="25">
        <f t="shared" si="119"/>
        <v>163216</v>
      </c>
      <c r="L205" s="24">
        <f t="shared" si="116"/>
        <v>1.0049566218998138</v>
      </c>
      <c r="M205">
        <f t="shared" si="117"/>
        <v>-24876</v>
      </c>
      <c r="N205" s="24">
        <f t="shared" si="118"/>
        <v>2.6464023117571678E-3</v>
      </c>
    </row>
    <row r="206" spans="1:14" x14ac:dyDescent="0.25">
      <c r="A206">
        <v>203</v>
      </c>
      <c r="B206" s="27">
        <f t="shared" si="108"/>
        <v>234.07087595765472</v>
      </c>
      <c r="C206">
        <f t="shared" si="109"/>
        <v>235</v>
      </c>
      <c r="D206">
        <f t="shared" si="110"/>
        <v>471</v>
      </c>
      <c r="E206">
        <f t="shared" si="111"/>
        <v>813</v>
      </c>
      <c r="F206">
        <f t="shared" si="112"/>
        <v>191461</v>
      </c>
      <c r="G206" s="24">
        <f t="shared" si="113"/>
        <v>190336.21794428231</v>
      </c>
      <c r="H206" s="24">
        <f t="shared" si="114"/>
        <v>1.005909448384894</v>
      </c>
      <c r="I206">
        <f t="shared" si="115"/>
        <v>407</v>
      </c>
      <c r="J206">
        <f t="shared" si="85"/>
        <v>165649</v>
      </c>
      <c r="K206" s="25">
        <f t="shared" si="119"/>
        <v>164836</v>
      </c>
      <c r="L206" s="24">
        <f t="shared" si="116"/>
        <v>1.0049321750103133</v>
      </c>
      <c r="M206">
        <f t="shared" si="117"/>
        <v>-25812</v>
      </c>
      <c r="N206" s="24">
        <f t="shared" si="118"/>
        <v>-9.7727337458075603E-4</v>
      </c>
    </row>
    <row r="207" spans="1:14" x14ac:dyDescent="0.25">
      <c r="A207">
        <v>204</v>
      </c>
      <c r="B207" s="27">
        <f t="shared" si="108"/>
        <v>235.22557649603394</v>
      </c>
      <c r="C207">
        <f t="shared" si="109"/>
        <v>236</v>
      </c>
      <c r="D207">
        <f t="shared" si="110"/>
        <v>473</v>
      </c>
      <c r="E207">
        <f t="shared" si="111"/>
        <v>817</v>
      </c>
      <c r="F207">
        <f t="shared" si="112"/>
        <v>193220</v>
      </c>
      <c r="G207" s="24">
        <f t="shared" si="113"/>
        <v>192216.07042076375</v>
      </c>
      <c r="H207" s="24">
        <f t="shared" si="114"/>
        <v>1.0052229221887568</v>
      </c>
      <c r="I207">
        <f t="shared" si="115"/>
        <v>409</v>
      </c>
      <c r="J207">
        <f t="shared" si="85"/>
        <v>167281</v>
      </c>
      <c r="K207" s="25">
        <f t="shared" si="119"/>
        <v>166464</v>
      </c>
      <c r="L207" s="24">
        <f t="shared" si="116"/>
        <v>1.0049079680891964</v>
      </c>
      <c r="M207">
        <f t="shared" si="117"/>
        <v>-25939</v>
      </c>
      <c r="N207" s="24">
        <f t="shared" si="118"/>
        <v>-3.1495409956039389E-4</v>
      </c>
    </row>
    <row r="208" spans="1:14" x14ac:dyDescent="0.25">
      <c r="A208">
        <v>205</v>
      </c>
      <c r="B208" s="27">
        <f t="shared" si="108"/>
        <v>236.38027703441321</v>
      </c>
      <c r="C208">
        <f t="shared" si="109"/>
        <v>237</v>
      </c>
      <c r="D208">
        <f t="shared" si="110"/>
        <v>475</v>
      </c>
      <c r="E208">
        <f t="shared" si="111"/>
        <v>821</v>
      </c>
      <c r="F208">
        <f t="shared" si="112"/>
        <v>194987</v>
      </c>
      <c r="G208" s="24">
        <f t="shared" si="113"/>
        <v>194105.16050155219</v>
      </c>
      <c r="H208" s="24">
        <f t="shared" si="114"/>
        <v>1.0045431017710669</v>
      </c>
      <c r="I208">
        <f t="shared" si="115"/>
        <v>411</v>
      </c>
      <c r="J208">
        <f t="shared" si="85"/>
        <v>168921</v>
      </c>
      <c r="K208" s="25">
        <f t="shared" si="119"/>
        <v>168100</v>
      </c>
      <c r="L208" s="24">
        <f t="shared" si="116"/>
        <v>1.004883997620464</v>
      </c>
      <c r="M208">
        <f t="shared" si="117"/>
        <v>-26066</v>
      </c>
      <c r="N208" s="24">
        <f t="shared" si="118"/>
        <v>3.4089584939711592E-4</v>
      </c>
    </row>
    <row r="209" spans="1:14" x14ac:dyDescent="0.25">
      <c r="A209">
        <v>206</v>
      </c>
      <c r="B209" s="27">
        <f t="shared" si="108"/>
        <v>237.53497757279249</v>
      </c>
      <c r="C209">
        <f t="shared" si="109"/>
        <v>238</v>
      </c>
      <c r="D209">
        <f t="shared" si="110"/>
        <v>477</v>
      </c>
      <c r="E209">
        <f t="shared" si="111"/>
        <v>825</v>
      </c>
      <c r="F209">
        <f t="shared" si="112"/>
        <v>196762</v>
      </c>
      <c r="G209" s="24">
        <f t="shared" si="113"/>
        <v>196003.48818664768</v>
      </c>
      <c r="H209" s="24">
        <f t="shared" si="114"/>
        <v>1.0038698893594691</v>
      </c>
      <c r="I209">
        <f t="shared" si="115"/>
        <v>413</v>
      </c>
      <c r="J209">
        <f t="shared" si="85"/>
        <v>170569</v>
      </c>
      <c r="K209" s="25">
        <f t="shared" si="119"/>
        <v>169744</v>
      </c>
      <c r="L209" s="24">
        <f t="shared" si="116"/>
        <v>1.0048602601564709</v>
      </c>
      <c r="M209">
        <f t="shared" si="117"/>
        <v>-26193</v>
      </c>
      <c r="N209" s="24">
        <f t="shared" si="118"/>
        <v>9.9037079700181607E-4</v>
      </c>
    </row>
    <row r="210" spans="1:14" x14ac:dyDescent="0.25">
      <c r="A210">
        <v>207</v>
      </c>
      <c r="B210" s="27">
        <f t="shared" si="108"/>
        <v>238.6896781111717</v>
      </c>
      <c r="C210">
        <f t="shared" si="109"/>
        <v>239</v>
      </c>
      <c r="D210">
        <f t="shared" si="110"/>
        <v>479</v>
      </c>
      <c r="E210">
        <f t="shared" si="111"/>
        <v>829</v>
      </c>
      <c r="F210">
        <f t="shared" si="112"/>
        <v>198545</v>
      </c>
      <c r="G210" s="24">
        <f t="shared" si="113"/>
        <v>197911.05347605021</v>
      </c>
      <c r="H210" s="24">
        <f t="shared" si="114"/>
        <v>1.0032031890731485</v>
      </c>
      <c r="I210">
        <f t="shared" si="115"/>
        <v>415</v>
      </c>
      <c r="J210">
        <f t="shared" si="85"/>
        <v>172225</v>
      </c>
      <c r="K210" s="25">
        <f t="shared" si="119"/>
        <v>171396</v>
      </c>
      <c r="L210" s="24">
        <f t="shared" si="116"/>
        <v>1.0048367523162733</v>
      </c>
      <c r="M210">
        <f t="shared" si="117"/>
        <v>-26320</v>
      </c>
      <c r="N210" s="24">
        <f t="shared" si="118"/>
        <v>1.6335632431248026E-3</v>
      </c>
    </row>
    <row r="211" spans="1:14" x14ac:dyDescent="0.25">
      <c r="A211">
        <v>208</v>
      </c>
      <c r="B211" s="27">
        <f t="shared" si="108"/>
        <v>239.84437864955098</v>
      </c>
      <c r="C211">
        <f t="shared" si="109"/>
        <v>240</v>
      </c>
      <c r="D211">
        <f t="shared" si="110"/>
        <v>481</v>
      </c>
      <c r="E211">
        <f t="shared" si="111"/>
        <v>833</v>
      </c>
      <c r="F211">
        <f t="shared" si="112"/>
        <v>200336</v>
      </c>
      <c r="G211" s="24">
        <f t="shared" si="113"/>
        <v>199827.85636975977</v>
      </c>
      <c r="H211" s="24">
        <f t="shared" si="114"/>
        <v>1.0025429068773073</v>
      </c>
      <c r="I211">
        <f t="shared" si="115"/>
        <v>417</v>
      </c>
      <c r="J211">
        <f t="shared" si="85"/>
        <v>173889</v>
      </c>
      <c r="K211" s="25">
        <f t="shared" si="119"/>
        <v>173056</v>
      </c>
      <c r="L211" s="24">
        <f t="shared" si="116"/>
        <v>1.0048134707840237</v>
      </c>
      <c r="M211">
        <f t="shared" si="117"/>
        <v>-26447</v>
      </c>
      <c r="N211" s="24">
        <f t="shared" si="118"/>
        <v>2.2705639067164274E-3</v>
      </c>
    </row>
    <row r="212" spans="1:14" x14ac:dyDescent="0.25">
      <c r="A212">
        <v>209</v>
      </c>
      <c r="B212" s="27">
        <f t="shared" si="108"/>
        <v>240.99907918793022</v>
      </c>
      <c r="C212">
        <f t="shared" si="109"/>
        <v>241</v>
      </c>
      <c r="D212">
        <f t="shared" si="110"/>
        <v>483</v>
      </c>
      <c r="E212">
        <f t="shared" si="111"/>
        <v>837</v>
      </c>
      <c r="F212">
        <f t="shared" si="112"/>
        <v>202135</v>
      </c>
      <c r="G212" s="24">
        <f t="shared" si="113"/>
        <v>201753.89686777635</v>
      </c>
      <c r="H212" s="24">
        <f t="shared" si="114"/>
        <v>1.0018889505389501</v>
      </c>
      <c r="I212">
        <f t="shared" si="115"/>
        <v>419</v>
      </c>
      <c r="J212">
        <f t="shared" si="85"/>
        <v>175561</v>
      </c>
      <c r="K212" s="25">
        <f t="shared" si="119"/>
        <v>174724</v>
      </c>
      <c r="L212" s="24">
        <f t="shared" si="116"/>
        <v>1.0047904123074105</v>
      </c>
      <c r="M212">
        <f t="shared" si="117"/>
        <v>-26574</v>
      </c>
      <c r="N212" s="24">
        <f t="shared" si="118"/>
        <v>2.9014617684604005E-3</v>
      </c>
    </row>
    <row r="213" spans="1:14" x14ac:dyDescent="0.25">
      <c r="A213">
        <v>210</v>
      </c>
      <c r="B213" s="27">
        <f t="shared" si="108"/>
        <v>242.15377972630947</v>
      </c>
      <c r="C213">
        <f t="shared" si="109"/>
        <v>243</v>
      </c>
      <c r="D213">
        <f t="shared" si="110"/>
        <v>487</v>
      </c>
      <c r="E213">
        <f t="shared" si="111"/>
        <v>841</v>
      </c>
      <c r="F213">
        <f t="shared" si="112"/>
        <v>204783</v>
      </c>
      <c r="G213" s="24">
        <f t="shared" si="113"/>
        <v>203689.17497009999</v>
      </c>
      <c r="H213" s="24">
        <f t="shared" si="114"/>
        <v>1.0053700695192103</v>
      </c>
      <c r="I213">
        <f t="shared" si="115"/>
        <v>421</v>
      </c>
      <c r="J213">
        <f t="shared" si="85"/>
        <v>177241</v>
      </c>
      <c r="K213" s="25">
        <f t="shared" si="119"/>
        <v>176400</v>
      </c>
      <c r="L213" s="24">
        <f t="shared" si="116"/>
        <v>1.0047675736961452</v>
      </c>
      <c r="M213">
        <f t="shared" si="117"/>
        <v>-27542</v>
      </c>
      <c r="N213" s="24">
        <f t="shared" si="118"/>
        <v>-6.0249582306504124E-4</v>
      </c>
    </row>
    <row r="214" spans="1:14" x14ac:dyDescent="0.25">
      <c r="A214">
        <v>211</v>
      </c>
      <c r="B214" s="27">
        <f t="shared" si="108"/>
        <v>243.30848026468871</v>
      </c>
      <c r="C214">
        <f t="shared" si="109"/>
        <v>244</v>
      </c>
      <c r="D214">
        <f t="shared" si="110"/>
        <v>489</v>
      </c>
      <c r="E214">
        <f t="shared" si="111"/>
        <v>845</v>
      </c>
      <c r="F214">
        <f t="shared" si="112"/>
        <v>206602</v>
      </c>
      <c r="G214" s="24">
        <f t="shared" si="113"/>
        <v>205633.69067673065</v>
      </c>
      <c r="H214" s="24">
        <f t="shared" si="114"/>
        <v>1.00470890407152</v>
      </c>
      <c r="I214">
        <f t="shared" si="115"/>
        <v>423</v>
      </c>
      <c r="J214">
        <f t="shared" si="85"/>
        <v>178929</v>
      </c>
      <c r="K214" s="25">
        <f t="shared" si="119"/>
        <v>178084</v>
      </c>
      <c r="L214" s="24">
        <f t="shared" si="116"/>
        <v>1.0047449518204892</v>
      </c>
      <c r="M214">
        <f t="shared" si="117"/>
        <v>-27673</v>
      </c>
      <c r="N214" s="24">
        <f t="shared" si="118"/>
        <v>3.6047748969147975E-5</v>
      </c>
    </row>
    <row r="215" spans="1:14" x14ac:dyDescent="0.25">
      <c r="A215">
        <v>212</v>
      </c>
      <c r="B215" s="27">
        <f t="shared" si="108"/>
        <v>244.46318080306798</v>
      </c>
      <c r="C215">
        <f t="shared" si="109"/>
        <v>245</v>
      </c>
      <c r="D215">
        <f t="shared" si="110"/>
        <v>491</v>
      </c>
      <c r="E215">
        <f t="shared" si="111"/>
        <v>849</v>
      </c>
      <c r="F215">
        <f t="shared" si="112"/>
        <v>208429</v>
      </c>
      <c r="G215" s="24">
        <f t="shared" si="113"/>
        <v>207587.44398766835</v>
      </c>
      <c r="H215" s="24">
        <f t="shared" si="114"/>
        <v>1.0040539832090309</v>
      </c>
      <c r="I215">
        <f t="shared" si="115"/>
        <v>425</v>
      </c>
      <c r="J215">
        <f t="shared" si="85"/>
        <v>180625</v>
      </c>
      <c r="K215" s="25">
        <f t="shared" si="119"/>
        <v>179776</v>
      </c>
      <c r="L215" s="24">
        <f t="shared" si="116"/>
        <v>1.0047225436098255</v>
      </c>
      <c r="M215">
        <f t="shared" si="117"/>
        <v>-27804</v>
      </c>
      <c r="N215" s="24">
        <f t="shared" si="118"/>
        <v>6.6856040079454893E-4</v>
      </c>
    </row>
    <row r="216" spans="1:14" x14ac:dyDescent="0.25">
      <c r="A216">
        <v>213</v>
      </c>
      <c r="B216" s="27">
        <f t="shared" si="108"/>
        <v>245.6178813414472</v>
      </c>
      <c r="C216">
        <f t="shared" si="109"/>
        <v>246</v>
      </c>
      <c r="D216">
        <f t="shared" si="110"/>
        <v>493</v>
      </c>
      <c r="E216">
        <f t="shared" si="111"/>
        <v>853</v>
      </c>
      <c r="F216">
        <f t="shared" si="112"/>
        <v>210264</v>
      </c>
      <c r="G216" s="24">
        <f t="shared" si="113"/>
        <v>209550.43490291305</v>
      </c>
      <c r="H216" s="24">
        <f t="shared" si="114"/>
        <v>1.0034052188792524</v>
      </c>
      <c r="I216">
        <f t="shared" si="115"/>
        <v>427</v>
      </c>
      <c r="J216">
        <f t="shared" si="85"/>
        <v>182329</v>
      </c>
      <c r="K216" s="25">
        <f t="shared" si="119"/>
        <v>181476</v>
      </c>
      <c r="L216" s="24">
        <f t="shared" si="116"/>
        <v>1.0047003460512685</v>
      </c>
      <c r="M216">
        <f t="shared" si="117"/>
        <v>-27935</v>
      </c>
      <c r="N216" s="24">
        <f t="shared" si="118"/>
        <v>1.2951271720160751E-3</v>
      </c>
    </row>
    <row r="217" spans="1:14" x14ac:dyDescent="0.25">
      <c r="A217">
        <v>214</v>
      </c>
      <c r="B217" s="27">
        <f t="shared" si="108"/>
        <v>246.77258187982648</v>
      </c>
      <c r="C217">
        <f t="shared" si="109"/>
        <v>247</v>
      </c>
      <c r="D217">
        <f t="shared" si="110"/>
        <v>495</v>
      </c>
      <c r="E217">
        <f t="shared" si="111"/>
        <v>857</v>
      </c>
      <c r="F217">
        <f t="shared" si="112"/>
        <v>212107</v>
      </c>
      <c r="G217" s="24">
        <f t="shared" si="113"/>
        <v>211522.66342246483</v>
      </c>
      <c r="H217" s="24">
        <f t="shared" si="114"/>
        <v>1.0027625246774059</v>
      </c>
      <c r="I217">
        <f t="shared" si="115"/>
        <v>429</v>
      </c>
      <c r="J217">
        <f t="shared" si="85"/>
        <v>184041</v>
      </c>
      <c r="K217" s="25">
        <f t="shared" si="119"/>
        <v>183184</v>
      </c>
      <c r="L217" s="24">
        <f t="shared" si="116"/>
        <v>1.0046783561883135</v>
      </c>
      <c r="M217">
        <f t="shared" si="117"/>
        <v>-28066</v>
      </c>
      <c r="N217" s="24">
        <f t="shared" si="118"/>
        <v>1.915831510907573E-3</v>
      </c>
    </row>
    <row r="218" spans="1:14" x14ac:dyDescent="0.25">
      <c r="A218">
        <v>215</v>
      </c>
      <c r="B218" s="27">
        <f t="shared" si="108"/>
        <v>247.92728241820575</v>
      </c>
      <c r="C218">
        <f t="shared" si="109"/>
        <v>248</v>
      </c>
      <c r="D218">
        <f t="shared" si="110"/>
        <v>497</v>
      </c>
      <c r="E218">
        <f t="shared" si="111"/>
        <v>861</v>
      </c>
      <c r="F218">
        <f t="shared" si="112"/>
        <v>213958</v>
      </c>
      <c r="G218" s="24">
        <f t="shared" si="113"/>
        <v>213504.12954632362</v>
      </c>
      <c r="H218" s="24">
        <f t="shared" si="114"/>
        <v>1.0021258158080633</v>
      </c>
      <c r="I218">
        <f t="shared" si="115"/>
        <v>431</v>
      </c>
      <c r="J218">
        <f t="shared" ref="J218:J259" si="120">I218*I218</f>
        <v>185761</v>
      </c>
      <c r="K218" s="25">
        <f t="shared" si="119"/>
        <v>184900</v>
      </c>
      <c r="L218" s="24">
        <f t="shared" si="116"/>
        <v>1.0046565711195241</v>
      </c>
      <c r="M218">
        <f t="shared" si="117"/>
        <v>-28197</v>
      </c>
      <c r="N218" s="24">
        <f t="shared" si="118"/>
        <v>2.5307553114608528E-3</v>
      </c>
    </row>
    <row r="219" spans="1:14" x14ac:dyDescent="0.25">
      <c r="A219">
        <v>216</v>
      </c>
      <c r="B219" s="27">
        <f t="shared" si="108"/>
        <v>249.08198295658497</v>
      </c>
      <c r="C219">
        <f t="shared" si="109"/>
        <v>250</v>
      </c>
      <c r="D219">
        <f t="shared" si="110"/>
        <v>501</v>
      </c>
      <c r="E219">
        <f t="shared" si="111"/>
        <v>865</v>
      </c>
      <c r="F219">
        <f t="shared" si="112"/>
        <v>216682</v>
      </c>
      <c r="G219" s="24">
        <f t="shared" si="113"/>
        <v>215494.83327448944</v>
      </c>
      <c r="H219" s="24">
        <f t="shared" si="114"/>
        <v>1.0055090263997113</v>
      </c>
      <c r="I219">
        <f t="shared" si="115"/>
        <v>433</v>
      </c>
      <c r="J219">
        <f t="shared" si="120"/>
        <v>187489</v>
      </c>
      <c r="K219" s="25">
        <f t="shared" si="119"/>
        <v>186624</v>
      </c>
      <c r="L219" s="24">
        <f t="shared" si="116"/>
        <v>1.0046349879972565</v>
      </c>
      <c r="M219">
        <f t="shared" si="117"/>
        <v>-29193</v>
      </c>
      <c r="N219" s="24">
        <f t="shared" si="118"/>
        <v>-8.7403840245481312E-4</v>
      </c>
    </row>
    <row r="220" spans="1:14" x14ac:dyDescent="0.25">
      <c r="A220">
        <v>217</v>
      </c>
      <c r="B220" s="27">
        <f t="shared" si="108"/>
        <v>250.23668349496424</v>
      </c>
      <c r="C220">
        <f t="shared" si="109"/>
        <v>251</v>
      </c>
      <c r="D220">
        <f t="shared" si="110"/>
        <v>503</v>
      </c>
      <c r="E220">
        <f t="shared" si="111"/>
        <v>869</v>
      </c>
      <c r="F220">
        <f t="shared" si="112"/>
        <v>218553</v>
      </c>
      <c r="G220" s="24">
        <f t="shared" si="113"/>
        <v>217494.77460696231</v>
      </c>
      <c r="H220" s="24">
        <f t="shared" si="114"/>
        <v>1.0048655209990678</v>
      </c>
      <c r="I220">
        <f t="shared" si="115"/>
        <v>435</v>
      </c>
      <c r="J220">
        <f t="shared" si="120"/>
        <v>189225</v>
      </c>
      <c r="K220" s="25">
        <f t="shared" si="119"/>
        <v>188356</v>
      </c>
      <c r="L220" s="24">
        <f t="shared" si="116"/>
        <v>1.004613604026418</v>
      </c>
      <c r="M220">
        <f t="shared" si="117"/>
        <v>-29328</v>
      </c>
      <c r="N220" s="24">
        <f t="shared" si="118"/>
        <v>-2.5191697264981272E-4</v>
      </c>
    </row>
    <row r="221" spans="1:14" x14ac:dyDescent="0.25">
      <c r="A221">
        <v>218</v>
      </c>
      <c r="B221" s="27">
        <f t="shared" si="108"/>
        <v>251.39138403334348</v>
      </c>
      <c r="C221">
        <f t="shared" si="109"/>
        <v>252</v>
      </c>
      <c r="D221">
        <f t="shared" si="110"/>
        <v>505</v>
      </c>
      <c r="E221">
        <f t="shared" si="111"/>
        <v>873</v>
      </c>
      <c r="F221">
        <f t="shared" si="112"/>
        <v>220432</v>
      </c>
      <c r="G221" s="24">
        <f t="shared" si="113"/>
        <v>219503.95354374222</v>
      </c>
      <c r="H221" s="24">
        <f t="shared" si="114"/>
        <v>1.00422792592696</v>
      </c>
      <c r="I221">
        <f t="shared" si="115"/>
        <v>437</v>
      </c>
      <c r="J221">
        <f t="shared" si="120"/>
        <v>190969</v>
      </c>
      <c r="K221" s="25">
        <f t="shared" si="119"/>
        <v>190096</v>
      </c>
      <c r="L221" s="24">
        <f t="shared" si="116"/>
        <v>1.0045924164632607</v>
      </c>
      <c r="M221">
        <f t="shared" si="117"/>
        <v>-29463</v>
      </c>
      <c r="N221" s="24">
        <f t="shared" si="118"/>
        <v>3.6449053630072115E-4</v>
      </c>
    </row>
    <row r="222" spans="1:14" x14ac:dyDescent="0.25">
      <c r="A222">
        <v>219</v>
      </c>
      <c r="B222" s="27">
        <f t="shared" si="108"/>
        <v>252.54608457172273</v>
      </c>
      <c r="C222">
        <f t="shared" si="109"/>
        <v>253</v>
      </c>
      <c r="D222">
        <f t="shared" si="110"/>
        <v>507</v>
      </c>
      <c r="E222">
        <f t="shared" si="111"/>
        <v>877</v>
      </c>
      <c r="F222">
        <f t="shared" si="112"/>
        <v>222319</v>
      </c>
      <c r="G222" s="24">
        <f t="shared" si="113"/>
        <v>221522.37008482913</v>
      </c>
      <c r="H222" s="24">
        <f t="shared" si="114"/>
        <v>1.0035961601298586</v>
      </c>
      <c r="I222">
        <f t="shared" si="115"/>
        <v>439</v>
      </c>
      <c r="J222">
        <f t="shared" si="120"/>
        <v>192721</v>
      </c>
      <c r="K222" s="25">
        <f t="shared" si="119"/>
        <v>191844</v>
      </c>
      <c r="L222" s="24">
        <f t="shared" si="116"/>
        <v>1.0045714226142073</v>
      </c>
      <c r="M222">
        <f t="shared" si="117"/>
        <v>-29598</v>
      </c>
      <c r="N222" s="24">
        <f t="shared" si="118"/>
        <v>9.7526248434864904E-4</v>
      </c>
    </row>
    <row r="223" spans="1:14" x14ac:dyDescent="0.25">
      <c r="A223">
        <v>220</v>
      </c>
      <c r="B223" s="27">
        <f t="shared" si="108"/>
        <v>253.70078511010198</v>
      </c>
      <c r="C223">
        <f t="shared" si="109"/>
        <v>254</v>
      </c>
      <c r="D223">
        <f t="shared" si="110"/>
        <v>509</v>
      </c>
      <c r="E223">
        <f t="shared" si="111"/>
        <v>881</v>
      </c>
      <c r="F223">
        <f t="shared" si="112"/>
        <v>224214</v>
      </c>
      <c r="G223" s="24">
        <f t="shared" si="113"/>
        <v>223550.02423022312</v>
      </c>
      <c r="H223" s="24">
        <f t="shared" si="114"/>
        <v>1.0029701440295666</v>
      </c>
      <c r="I223">
        <f t="shared" si="115"/>
        <v>441</v>
      </c>
      <c r="J223">
        <f t="shared" si="120"/>
        <v>194481</v>
      </c>
      <c r="K223" s="25">
        <f t="shared" si="119"/>
        <v>193600</v>
      </c>
      <c r="L223" s="24">
        <f t="shared" si="116"/>
        <v>1.0045506198347107</v>
      </c>
      <c r="M223">
        <f t="shared" si="117"/>
        <v>-29733</v>
      </c>
      <c r="N223" s="24">
        <f t="shared" si="118"/>
        <v>1.5804758051440881E-3</v>
      </c>
    </row>
    <row r="224" spans="1:14" x14ac:dyDescent="0.25">
      <c r="A224">
        <v>221</v>
      </c>
      <c r="B224" s="27">
        <f t="shared" si="108"/>
        <v>254.85548564848125</v>
      </c>
      <c r="C224">
        <f t="shared" si="109"/>
        <v>255</v>
      </c>
      <c r="D224">
        <f t="shared" si="110"/>
        <v>511</v>
      </c>
      <c r="E224">
        <f t="shared" si="111"/>
        <v>885</v>
      </c>
      <c r="F224">
        <f t="shared" si="112"/>
        <v>226117</v>
      </c>
      <c r="G224" s="24">
        <f t="shared" si="113"/>
        <v>225586.91597992412</v>
      </c>
      <c r="H224" s="24">
        <f t="shared" si="114"/>
        <v>1.0023497994898032</v>
      </c>
      <c r="I224">
        <f t="shared" si="115"/>
        <v>443</v>
      </c>
      <c r="J224">
        <f t="shared" si="120"/>
        <v>196249</v>
      </c>
      <c r="K224" s="25">
        <f t="shared" si="119"/>
        <v>195364</v>
      </c>
      <c r="L224" s="24">
        <f t="shared" si="116"/>
        <v>1.0045300055281423</v>
      </c>
      <c r="M224">
        <f t="shared" si="117"/>
        <v>-29868</v>
      </c>
      <c r="N224" s="24">
        <f t="shared" si="118"/>
        <v>2.1802060383391275E-3</v>
      </c>
    </row>
    <row r="225" spans="1:14" x14ac:dyDescent="0.25">
      <c r="A225">
        <v>222</v>
      </c>
      <c r="B225" s="27">
        <f t="shared" si="108"/>
        <v>256.01018618686049</v>
      </c>
      <c r="C225">
        <f t="shared" si="109"/>
        <v>257</v>
      </c>
      <c r="D225">
        <f t="shared" si="110"/>
        <v>515</v>
      </c>
      <c r="E225">
        <f t="shared" si="111"/>
        <v>889</v>
      </c>
      <c r="F225">
        <f t="shared" si="112"/>
        <v>228917</v>
      </c>
      <c r="G225" s="24">
        <f t="shared" si="113"/>
        <v>227633.04533393215</v>
      </c>
      <c r="H225" s="24">
        <f t="shared" si="114"/>
        <v>1.0056404581513387</v>
      </c>
      <c r="I225">
        <f t="shared" si="115"/>
        <v>445</v>
      </c>
      <c r="J225">
        <f t="shared" si="120"/>
        <v>198025</v>
      </c>
      <c r="K225" s="25">
        <f t="shared" si="119"/>
        <v>197136</v>
      </c>
      <c r="L225" s="24">
        <f t="shared" si="116"/>
        <v>1.0045095771447123</v>
      </c>
      <c r="M225">
        <f t="shared" si="117"/>
        <v>-30892</v>
      </c>
      <c r="N225" s="24">
        <f t="shared" si="118"/>
        <v>-1.1308810066263941E-3</v>
      </c>
    </row>
    <row r="226" spans="1:14" x14ac:dyDescent="0.25">
      <c r="A226">
        <v>223</v>
      </c>
      <c r="B226" s="27">
        <f t="shared" si="108"/>
        <v>257.16488672523974</v>
      </c>
      <c r="C226">
        <f t="shared" si="109"/>
        <v>258</v>
      </c>
      <c r="D226">
        <f t="shared" si="110"/>
        <v>517</v>
      </c>
      <c r="E226">
        <f t="shared" si="111"/>
        <v>893</v>
      </c>
      <c r="F226">
        <f t="shared" si="112"/>
        <v>230840</v>
      </c>
      <c r="G226" s="24">
        <f t="shared" si="113"/>
        <v>229688.4122922472</v>
      </c>
      <c r="H226" s="24">
        <f t="shared" si="114"/>
        <v>1.0050136952763971</v>
      </c>
      <c r="I226">
        <f t="shared" si="115"/>
        <v>447</v>
      </c>
      <c r="J226">
        <f t="shared" si="120"/>
        <v>199809</v>
      </c>
      <c r="K226" s="25">
        <f t="shared" si="119"/>
        <v>198916</v>
      </c>
      <c r="L226" s="24">
        <f t="shared" si="116"/>
        <v>1.0044893321804178</v>
      </c>
      <c r="M226">
        <f t="shared" si="117"/>
        <v>-31031</v>
      </c>
      <c r="N226" s="24">
        <f t="shared" si="118"/>
        <v>-5.2436309597925224E-4</v>
      </c>
    </row>
    <row r="227" spans="1:14" x14ac:dyDescent="0.25">
      <c r="A227">
        <v>224</v>
      </c>
      <c r="B227" s="27">
        <f t="shared" si="108"/>
        <v>258.31958726361898</v>
      </c>
      <c r="C227">
        <f t="shared" si="109"/>
        <v>259</v>
      </c>
      <c r="D227">
        <f t="shared" si="110"/>
        <v>519</v>
      </c>
      <c r="E227">
        <f t="shared" si="111"/>
        <v>897</v>
      </c>
      <c r="F227">
        <f t="shared" si="112"/>
        <v>232771</v>
      </c>
      <c r="G227" s="24">
        <f t="shared" si="113"/>
        <v>231753.01685486932</v>
      </c>
      <c r="H227" s="24">
        <f t="shared" si="114"/>
        <v>1.0043925345997466</v>
      </c>
      <c r="I227">
        <f t="shared" si="115"/>
        <v>449</v>
      </c>
      <c r="J227">
        <f t="shared" si="120"/>
        <v>201601</v>
      </c>
      <c r="K227" s="25">
        <f t="shared" si="119"/>
        <v>200704</v>
      </c>
      <c r="L227" s="24">
        <f t="shared" si="116"/>
        <v>1.0044692681760203</v>
      </c>
      <c r="M227">
        <f t="shared" si="117"/>
        <v>-31170</v>
      </c>
      <c r="N227" s="24">
        <f t="shared" si="118"/>
        <v>7.6733576273690929E-5</v>
      </c>
    </row>
    <row r="228" spans="1:14" x14ac:dyDescent="0.25">
      <c r="A228">
        <v>225</v>
      </c>
      <c r="B228" s="27">
        <f t="shared" si="108"/>
        <v>259.47428780199823</v>
      </c>
      <c r="C228">
        <f t="shared" si="109"/>
        <v>260</v>
      </c>
      <c r="D228">
        <f t="shared" si="110"/>
        <v>521</v>
      </c>
      <c r="E228">
        <f t="shared" si="111"/>
        <v>901</v>
      </c>
      <c r="F228">
        <f t="shared" si="112"/>
        <v>234710</v>
      </c>
      <c r="G228" s="24">
        <f t="shared" si="113"/>
        <v>233826.85902179845</v>
      </c>
      <c r="H228" s="24">
        <f t="shared" si="114"/>
        <v>1.0037769013444227</v>
      </c>
      <c r="I228">
        <f t="shared" si="115"/>
        <v>451</v>
      </c>
      <c r="J228">
        <f t="shared" si="120"/>
        <v>203401</v>
      </c>
      <c r="K228" s="25">
        <f t="shared" si="119"/>
        <v>202500</v>
      </c>
      <c r="L228" s="24">
        <f t="shared" si="116"/>
        <v>1.0044493827160494</v>
      </c>
      <c r="M228">
        <f t="shared" si="117"/>
        <v>-31309</v>
      </c>
      <c r="N228" s="24">
        <f t="shared" si="118"/>
        <v>6.7248137162678745E-4</v>
      </c>
    </row>
    <row r="229" spans="1:14" x14ac:dyDescent="0.25">
      <c r="A229">
        <v>226</v>
      </c>
      <c r="B229" s="27">
        <f t="shared" si="108"/>
        <v>260.62898834037748</v>
      </c>
      <c r="C229">
        <f t="shared" si="109"/>
        <v>261</v>
      </c>
      <c r="D229">
        <f t="shared" si="110"/>
        <v>523</v>
      </c>
      <c r="E229">
        <f t="shared" si="111"/>
        <v>905</v>
      </c>
      <c r="F229">
        <f t="shared" si="112"/>
        <v>236657</v>
      </c>
      <c r="G229" s="24">
        <f t="shared" si="113"/>
        <v>235909.93879303461</v>
      </c>
      <c r="H229" s="24">
        <f t="shared" si="114"/>
        <v>1.0031667220583733</v>
      </c>
      <c r="I229">
        <f t="shared" si="115"/>
        <v>453</v>
      </c>
      <c r="J229">
        <f t="shared" si="120"/>
        <v>205209</v>
      </c>
      <c r="K229" s="25">
        <f t="shared" si="119"/>
        <v>204304</v>
      </c>
      <c r="L229" s="24">
        <f t="shared" si="116"/>
        <v>1.0044296734278331</v>
      </c>
      <c r="M229">
        <f t="shared" si="117"/>
        <v>-31448</v>
      </c>
      <c r="N229" s="24">
        <f t="shared" si="118"/>
        <v>1.2629513694597527E-3</v>
      </c>
    </row>
    <row r="230" spans="1:14" x14ac:dyDescent="0.25">
      <c r="A230">
        <v>227</v>
      </c>
      <c r="B230" s="27">
        <f t="shared" si="108"/>
        <v>261.78368887875678</v>
      </c>
      <c r="C230">
        <f t="shared" si="109"/>
        <v>262</v>
      </c>
      <c r="D230">
        <f t="shared" si="110"/>
        <v>525</v>
      </c>
      <c r="E230">
        <f t="shared" si="111"/>
        <v>909</v>
      </c>
      <c r="F230">
        <f t="shared" si="112"/>
        <v>238612</v>
      </c>
      <c r="G230" s="24">
        <f t="shared" si="113"/>
        <v>238002.25616857782</v>
      </c>
      <c r="H230" s="24">
        <f t="shared" si="114"/>
        <v>1.0025619245852455</v>
      </c>
      <c r="I230">
        <f t="shared" si="115"/>
        <v>455</v>
      </c>
      <c r="J230">
        <f t="shared" si="120"/>
        <v>207025</v>
      </c>
      <c r="K230" s="25">
        <f t="shared" si="119"/>
        <v>206116</v>
      </c>
      <c r="L230" s="24">
        <f t="shared" si="116"/>
        <v>1.0044101379805546</v>
      </c>
      <c r="M230">
        <f t="shared" si="117"/>
        <v>-31587</v>
      </c>
      <c r="N230" s="24">
        <f t="shared" si="118"/>
        <v>1.8482133953090507E-3</v>
      </c>
    </row>
    <row r="231" spans="1:14" x14ac:dyDescent="0.25">
      <c r="A231">
        <v>228</v>
      </c>
      <c r="B231" s="27">
        <f t="shared" si="108"/>
        <v>262.93838941713597</v>
      </c>
      <c r="C231">
        <f t="shared" si="109"/>
        <v>263</v>
      </c>
      <c r="D231">
        <f t="shared" si="110"/>
        <v>527</v>
      </c>
      <c r="E231">
        <f t="shared" si="111"/>
        <v>913</v>
      </c>
      <c r="F231">
        <f t="shared" si="112"/>
        <v>240575</v>
      </c>
      <c r="G231" s="24">
        <f t="shared" si="113"/>
        <v>240103.81114842807</v>
      </c>
      <c r="H231" s="24">
        <f t="shared" si="114"/>
        <v>1.0019624380359404</v>
      </c>
      <c r="I231">
        <f t="shared" si="115"/>
        <v>457</v>
      </c>
      <c r="J231">
        <f t="shared" si="120"/>
        <v>208849</v>
      </c>
      <c r="K231" s="25">
        <f t="shared" si="119"/>
        <v>207936</v>
      </c>
      <c r="L231" s="24">
        <f t="shared" si="116"/>
        <v>1.0043907740843336</v>
      </c>
      <c r="M231">
        <f t="shared" si="117"/>
        <v>-31726</v>
      </c>
      <c r="N231" s="24">
        <f t="shared" si="118"/>
        <v>2.4283360483932093E-3</v>
      </c>
    </row>
    <row r="232" spans="1:14" x14ac:dyDescent="0.25">
      <c r="A232">
        <v>229</v>
      </c>
      <c r="B232" s="27">
        <f t="shared" si="108"/>
        <v>264.09308995551527</v>
      </c>
      <c r="C232">
        <f t="shared" si="109"/>
        <v>265</v>
      </c>
      <c r="D232">
        <f t="shared" si="110"/>
        <v>531</v>
      </c>
      <c r="E232">
        <f t="shared" si="111"/>
        <v>917</v>
      </c>
      <c r="F232">
        <f t="shared" si="112"/>
        <v>243463</v>
      </c>
      <c r="G232" s="24">
        <f t="shared" si="113"/>
        <v>242214.60373258532</v>
      </c>
      <c r="H232" s="24">
        <f t="shared" si="114"/>
        <v>1.0051540916533379</v>
      </c>
      <c r="I232">
        <f t="shared" si="115"/>
        <v>459</v>
      </c>
      <c r="J232">
        <f t="shared" si="120"/>
        <v>210681</v>
      </c>
      <c r="K232" s="25">
        <f t="shared" si="119"/>
        <v>209764</v>
      </c>
      <c r="L232" s="24">
        <f t="shared" si="116"/>
        <v>1.0043715794893309</v>
      </c>
      <c r="M232">
        <f t="shared" si="117"/>
        <v>-32782</v>
      </c>
      <c r="N232" s="24">
        <f t="shared" si="118"/>
        <v>-7.8251216400704315E-4</v>
      </c>
    </row>
    <row r="233" spans="1:14" x14ac:dyDescent="0.25">
      <c r="A233">
        <v>230</v>
      </c>
      <c r="B233" s="27">
        <f t="shared" si="108"/>
        <v>265.24779049389451</v>
      </c>
      <c r="C233">
        <f t="shared" si="109"/>
        <v>266</v>
      </c>
      <c r="D233">
        <f t="shared" si="110"/>
        <v>533</v>
      </c>
      <c r="E233">
        <f t="shared" si="111"/>
        <v>921</v>
      </c>
      <c r="F233">
        <f t="shared" si="112"/>
        <v>245446</v>
      </c>
      <c r="G233" s="24">
        <f t="shared" si="113"/>
        <v>244334.63392104965</v>
      </c>
      <c r="H233" s="24">
        <f t="shared" si="114"/>
        <v>1.0045485409133994</v>
      </c>
      <c r="I233">
        <f t="shared" si="115"/>
        <v>461</v>
      </c>
      <c r="J233">
        <f t="shared" si="120"/>
        <v>212521</v>
      </c>
      <c r="K233" s="25">
        <f t="shared" si="119"/>
        <v>211600</v>
      </c>
      <c r="L233" s="24">
        <f t="shared" si="116"/>
        <v>1.0043525519848771</v>
      </c>
      <c r="M233">
        <f t="shared" si="117"/>
        <v>-32925</v>
      </c>
      <c r="N233" s="24">
        <f t="shared" si="118"/>
        <v>-1.9598892852235039E-4</v>
      </c>
    </row>
    <row r="234" spans="1:14" x14ac:dyDescent="0.25">
      <c r="A234">
        <v>231</v>
      </c>
      <c r="B234" s="27">
        <f t="shared" si="108"/>
        <v>266.40249103227376</v>
      </c>
      <c r="C234">
        <f t="shared" si="109"/>
        <v>267</v>
      </c>
      <c r="D234">
        <f t="shared" si="110"/>
        <v>535</v>
      </c>
      <c r="E234">
        <f t="shared" si="111"/>
        <v>925</v>
      </c>
      <c r="F234">
        <f t="shared" si="112"/>
        <v>247437</v>
      </c>
      <c r="G234" s="24">
        <f t="shared" si="113"/>
        <v>246463.90171382099</v>
      </c>
      <c r="H234" s="24">
        <f t="shared" si="114"/>
        <v>1.0039482385834697</v>
      </c>
      <c r="I234">
        <f t="shared" si="115"/>
        <v>463</v>
      </c>
      <c r="J234">
        <f t="shared" si="120"/>
        <v>214369</v>
      </c>
      <c r="K234" s="25">
        <f t="shared" si="119"/>
        <v>213444</v>
      </c>
      <c r="L234" s="24">
        <f t="shared" si="116"/>
        <v>1.0043336893986246</v>
      </c>
      <c r="M234">
        <f t="shared" si="117"/>
        <v>-33068</v>
      </c>
      <c r="N234" s="24">
        <f t="shared" si="118"/>
        <v>3.8545081515484192E-4</v>
      </c>
    </row>
    <row r="235" spans="1:14" x14ac:dyDescent="0.25">
      <c r="A235">
        <v>232</v>
      </c>
      <c r="B235" s="27">
        <f t="shared" si="108"/>
        <v>267.557191570653</v>
      </c>
      <c r="C235">
        <f t="shared" si="109"/>
        <v>268</v>
      </c>
      <c r="D235">
        <f t="shared" si="110"/>
        <v>537</v>
      </c>
      <c r="E235">
        <f t="shared" si="111"/>
        <v>929</v>
      </c>
      <c r="F235">
        <f t="shared" si="112"/>
        <v>249436</v>
      </c>
      <c r="G235" s="24">
        <f t="shared" si="113"/>
        <v>248602.40711089934</v>
      </c>
      <c r="H235" s="24">
        <f t="shared" si="114"/>
        <v>1.003353116724766</v>
      </c>
      <c r="I235">
        <f t="shared" si="115"/>
        <v>465</v>
      </c>
      <c r="J235">
        <f t="shared" si="120"/>
        <v>216225</v>
      </c>
      <c r="K235" s="25">
        <f t="shared" si="119"/>
        <v>215296</v>
      </c>
      <c r="L235" s="24">
        <f t="shared" si="116"/>
        <v>1.0043149895957193</v>
      </c>
      <c r="M235">
        <f t="shared" si="117"/>
        <v>-33211</v>
      </c>
      <c r="N235" s="24">
        <f t="shared" si="118"/>
        <v>9.6187287095328422E-4</v>
      </c>
    </row>
    <row r="236" spans="1:14" x14ac:dyDescent="0.25">
      <c r="A236">
        <v>233</v>
      </c>
      <c r="B236" s="27">
        <f t="shared" si="108"/>
        <v>268.71189210903225</v>
      </c>
      <c r="C236">
        <f t="shared" si="109"/>
        <v>269</v>
      </c>
      <c r="D236">
        <f t="shared" si="110"/>
        <v>539</v>
      </c>
      <c r="E236">
        <f t="shared" si="111"/>
        <v>933</v>
      </c>
      <c r="F236">
        <f t="shared" si="112"/>
        <v>251443</v>
      </c>
      <c r="G236" s="24">
        <f t="shared" si="113"/>
        <v>250750.15011228475</v>
      </c>
      <c r="H236" s="24">
        <f t="shared" si="114"/>
        <v>1.0027631085660567</v>
      </c>
      <c r="I236">
        <f t="shared" si="115"/>
        <v>467</v>
      </c>
      <c r="J236">
        <f t="shared" si="120"/>
        <v>218089</v>
      </c>
      <c r="K236" s="25">
        <f t="shared" si="119"/>
        <v>217156</v>
      </c>
      <c r="L236" s="24">
        <f t="shared" si="116"/>
        <v>1.0042964504779974</v>
      </c>
      <c r="M236">
        <f t="shared" si="117"/>
        <v>-33354</v>
      </c>
      <c r="N236" s="24">
        <f t="shared" si="118"/>
        <v>1.5333419119407665E-3</v>
      </c>
    </row>
    <row r="237" spans="1:14" x14ac:dyDescent="0.25">
      <c r="A237">
        <v>234</v>
      </c>
      <c r="B237" s="27">
        <f t="shared" si="108"/>
        <v>269.86659264741149</v>
      </c>
      <c r="C237">
        <f t="shared" si="109"/>
        <v>270</v>
      </c>
      <c r="D237">
        <f t="shared" si="110"/>
        <v>541</v>
      </c>
      <c r="E237">
        <f t="shared" si="111"/>
        <v>937</v>
      </c>
      <c r="F237">
        <f t="shared" si="112"/>
        <v>253458</v>
      </c>
      <c r="G237" s="24">
        <f t="shared" si="113"/>
        <v>252907.13071797721</v>
      </c>
      <c r="H237" s="24">
        <f t="shared" si="114"/>
        <v>1.0021781484786882</v>
      </c>
      <c r="I237">
        <f t="shared" si="115"/>
        <v>469</v>
      </c>
      <c r="J237">
        <f t="shared" si="120"/>
        <v>219961</v>
      </c>
      <c r="K237" s="25">
        <f t="shared" si="119"/>
        <v>219024</v>
      </c>
      <c r="L237" s="24">
        <f t="shared" si="116"/>
        <v>1.0042780699831981</v>
      </c>
      <c r="M237">
        <f t="shared" si="117"/>
        <v>-33497</v>
      </c>
      <c r="N237" s="24">
        <f t="shared" si="118"/>
        <v>2.0999215045098829E-3</v>
      </c>
    </row>
    <row r="238" spans="1:14" x14ac:dyDescent="0.25">
      <c r="A238">
        <v>235</v>
      </c>
      <c r="B238" s="27">
        <f t="shared" si="108"/>
        <v>271.02129318579074</v>
      </c>
      <c r="C238">
        <f t="shared" si="109"/>
        <v>272</v>
      </c>
      <c r="D238">
        <f t="shared" si="110"/>
        <v>545</v>
      </c>
      <c r="E238">
        <f t="shared" si="111"/>
        <v>941</v>
      </c>
      <c r="F238">
        <f t="shared" si="112"/>
        <v>256422</v>
      </c>
      <c r="G238" s="24">
        <f t="shared" si="113"/>
        <v>255073.34892797668</v>
      </c>
      <c r="H238" s="24">
        <f t="shared" si="114"/>
        <v>1.0052873068773802</v>
      </c>
      <c r="I238">
        <f t="shared" si="115"/>
        <v>471</v>
      </c>
      <c r="J238">
        <f t="shared" si="120"/>
        <v>221841</v>
      </c>
      <c r="K238" s="25">
        <f t="shared" si="119"/>
        <v>220900</v>
      </c>
      <c r="L238" s="24">
        <f t="shared" si="116"/>
        <v>1.0042598460842009</v>
      </c>
      <c r="M238">
        <f t="shared" si="117"/>
        <v>-34581</v>
      </c>
      <c r="N238" s="24">
        <f t="shared" si="118"/>
        <v>-1.0274607931792801E-3</v>
      </c>
    </row>
    <row r="239" spans="1:14" x14ac:dyDescent="0.25">
      <c r="A239">
        <v>236</v>
      </c>
      <c r="B239" s="27">
        <f t="shared" si="108"/>
        <v>272.17599372417004</v>
      </c>
      <c r="C239">
        <f t="shared" si="109"/>
        <v>273</v>
      </c>
      <c r="D239">
        <f t="shared" si="110"/>
        <v>547</v>
      </c>
      <c r="E239">
        <f t="shared" si="111"/>
        <v>945</v>
      </c>
      <c r="F239">
        <f t="shared" si="112"/>
        <v>258457</v>
      </c>
      <c r="G239" s="24">
        <f t="shared" si="113"/>
        <v>257248.80474228319</v>
      </c>
      <c r="H239" s="24">
        <f t="shared" si="114"/>
        <v>1.0046966020266925</v>
      </c>
      <c r="I239">
        <f t="shared" si="115"/>
        <v>473</v>
      </c>
      <c r="J239">
        <f t="shared" si="120"/>
        <v>223729</v>
      </c>
      <c r="K239" s="25">
        <f t="shared" si="119"/>
        <v>222784</v>
      </c>
      <c r="L239" s="24">
        <f t="shared" si="116"/>
        <v>1.0042417767882792</v>
      </c>
      <c r="M239">
        <f t="shared" si="117"/>
        <v>-34728</v>
      </c>
      <c r="N239" s="24">
        <f t="shared" si="118"/>
        <v>-4.5482523841333666E-4</v>
      </c>
    </row>
    <row r="240" spans="1:14" x14ac:dyDescent="0.25">
      <c r="A240">
        <v>237</v>
      </c>
      <c r="B240" s="27">
        <f t="shared" si="108"/>
        <v>273.33069426254923</v>
      </c>
      <c r="C240">
        <f t="shared" si="109"/>
        <v>274</v>
      </c>
      <c r="D240">
        <f t="shared" si="110"/>
        <v>549</v>
      </c>
      <c r="E240">
        <f t="shared" si="111"/>
        <v>949</v>
      </c>
      <c r="F240">
        <f t="shared" si="112"/>
        <v>260500</v>
      </c>
      <c r="G240" s="24">
        <f t="shared" si="113"/>
        <v>259433.49816089674</v>
      </c>
      <c r="H240" s="24">
        <f t="shared" si="114"/>
        <v>1.0041108871701752</v>
      </c>
      <c r="I240">
        <f t="shared" si="115"/>
        <v>475</v>
      </c>
      <c r="J240">
        <f t="shared" si="120"/>
        <v>225625</v>
      </c>
      <c r="K240" s="25">
        <f t="shared" si="119"/>
        <v>224676</v>
      </c>
      <c r="L240" s="24">
        <f t="shared" si="116"/>
        <v>1.0042238601363742</v>
      </c>
      <c r="M240">
        <f t="shared" si="117"/>
        <v>-34875</v>
      </c>
      <c r="N240" s="24">
        <f t="shared" si="118"/>
        <v>1.1297296619905417E-4</v>
      </c>
    </row>
    <row r="241" spans="1:14" x14ac:dyDescent="0.25">
      <c r="A241">
        <v>238</v>
      </c>
      <c r="B241" s="27">
        <f t="shared" si="108"/>
        <v>274.48539480092853</v>
      </c>
      <c r="C241">
        <f t="shared" si="109"/>
        <v>275</v>
      </c>
      <c r="D241">
        <f t="shared" si="110"/>
        <v>551</v>
      </c>
      <c r="E241">
        <f t="shared" si="111"/>
        <v>953</v>
      </c>
      <c r="F241">
        <f t="shared" si="112"/>
        <v>262551</v>
      </c>
      <c r="G241" s="24">
        <f t="shared" si="113"/>
        <v>261627.42918381732</v>
      </c>
      <c r="H241" s="24">
        <f t="shared" si="114"/>
        <v>1.0035300993441854</v>
      </c>
      <c r="I241">
        <f t="shared" si="115"/>
        <v>477</v>
      </c>
      <c r="J241">
        <f t="shared" si="120"/>
        <v>227529</v>
      </c>
      <c r="K241" s="25">
        <f t="shared" si="119"/>
        <v>226576</v>
      </c>
      <c r="L241" s="24">
        <f t="shared" si="116"/>
        <v>1.0042060942023869</v>
      </c>
      <c r="M241">
        <f t="shared" si="117"/>
        <v>-35022</v>
      </c>
      <c r="N241" s="24">
        <f t="shared" si="118"/>
        <v>6.7599485820157845E-4</v>
      </c>
    </row>
    <row r="242" spans="1:14" x14ac:dyDescent="0.25">
      <c r="A242">
        <v>239</v>
      </c>
      <c r="B242" s="27">
        <f t="shared" si="108"/>
        <v>275.64009533930778</v>
      </c>
      <c r="C242">
        <f t="shared" si="109"/>
        <v>276</v>
      </c>
      <c r="D242">
        <f t="shared" si="110"/>
        <v>553</v>
      </c>
      <c r="E242">
        <f t="shared" si="111"/>
        <v>957</v>
      </c>
      <c r="F242">
        <f t="shared" si="112"/>
        <v>264610</v>
      </c>
      <c r="G242" s="24">
        <f t="shared" si="113"/>
        <v>263830.59781104495</v>
      </c>
      <c r="H242" s="24">
        <f t="shared" si="114"/>
        <v>1.002954176639941</v>
      </c>
      <c r="I242">
        <f t="shared" si="115"/>
        <v>479</v>
      </c>
      <c r="J242">
        <f t="shared" si="120"/>
        <v>229441</v>
      </c>
      <c r="K242" s="25">
        <f t="shared" si="119"/>
        <v>228484</v>
      </c>
      <c r="L242" s="24">
        <f t="shared" si="116"/>
        <v>1.0041884770924878</v>
      </c>
      <c r="M242">
        <f t="shared" si="117"/>
        <v>-35169</v>
      </c>
      <c r="N242" s="24">
        <f t="shared" si="118"/>
        <v>1.2343004525467993E-3</v>
      </c>
    </row>
    <row r="243" spans="1:14" x14ac:dyDescent="0.25">
      <c r="A243">
        <v>240</v>
      </c>
      <c r="B243" s="27">
        <f t="shared" si="108"/>
        <v>276.79479587768702</v>
      </c>
      <c r="C243">
        <f t="shared" si="109"/>
        <v>277</v>
      </c>
      <c r="D243">
        <f t="shared" si="110"/>
        <v>555</v>
      </c>
      <c r="E243">
        <f t="shared" si="111"/>
        <v>961</v>
      </c>
      <c r="F243">
        <f t="shared" si="112"/>
        <v>266677</v>
      </c>
      <c r="G243" s="24">
        <f t="shared" si="113"/>
        <v>266043.00404257956</v>
      </c>
      <c r="H243" s="24">
        <f t="shared" si="114"/>
        <v>1.0023830581815223</v>
      </c>
      <c r="I243">
        <f t="shared" si="115"/>
        <v>481</v>
      </c>
      <c r="J243">
        <f t="shared" si="120"/>
        <v>231361</v>
      </c>
      <c r="K243" s="25">
        <f t="shared" si="119"/>
        <v>230400</v>
      </c>
      <c r="L243" s="24">
        <f t="shared" si="116"/>
        <v>1.0041710069444445</v>
      </c>
      <c r="M243">
        <f t="shared" si="117"/>
        <v>-35316</v>
      </c>
      <c r="N243" s="24">
        <f t="shared" si="118"/>
        <v>1.7879487629222091E-3</v>
      </c>
    </row>
    <row r="244" spans="1:14" x14ac:dyDescent="0.25">
      <c r="A244">
        <v>241</v>
      </c>
      <c r="B244" s="27">
        <f t="shared" si="108"/>
        <v>277.94949641606627</v>
      </c>
      <c r="C244">
        <f t="shared" si="109"/>
        <v>278</v>
      </c>
      <c r="D244">
        <f t="shared" si="110"/>
        <v>557</v>
      </c>
      <c r="E244">
        <f t="shared" si="111"/>
        <v>965</v>
      </c>
      <c r="F244">
        <f t="shared" si="112"/>
        <v>268752</v>
      </c>
      <c r="G244" s="24">
        <f t="shared" si="113"/>
        <v>268264.64787842124</v>
      </c>
      <c r="H244" s="24">
        <f t="shared" si="114"/>
        <v>1.0018166841044207</v>
      </c>
      <c r="I244">
        <f t="shared" si="115"/>
        <v>483</v>
      </c>
      <c r="J244">
        <f t="shared" si="120"/>
        <v>233289</v>
      </c>
      <c r="K244" s="25">
        <f t="shared" si="119"/>
        <v>232324</v>
      </c>
      <c r="L244" s="24">
        <f t="shared" si="116"/>
        <v>1.0041536819269641</v>
      </c>
      <c r="M244">
        <f t="shared" si="117"/>
        <v>-35463</v>
      </c>
      <c r="N244" s="24">
        <f t="shared" si="118"/>
        <v>2.3369978225433741E-3</v>
      </c>
    </row>
    <row r="245" spans="1:14" x14ac:dyDescent="0.25">
      <c r="A245">
        <v>242</v>
      </c>
      <c r="B245" s="27">
        <f t="shared" si="108"/>
        <v>279.10419695444551</v>
      </c>
      <c r="C245">
        <f t="shared" si="109"/>
        <v>280</v>
      </c>
      <c r="D245">
        <f t="shared" si="110"/>
        <v>561</v>
      </c>
      <c r="E245">
        <f t="shared" si="111"/>
        <v>969</v>
      </c>
      <c r="F245">
        <f t="shared" si="112"/>
        <v>271804</v>
      </c>
      <c r="G245" s="24">
        <f t="shared" si="113"/>
        <v>270495.52931856998</v>
      </c>
      <c r="H245" s="24">
        <f t="shared" si="114"/>
        <v>1.0048373098244037</v>
      </c>
      <c r="I245">
        <f t="shared" si="115"/>
        <v>485</v>
      </c>
      <c r="J245">
        <f t="shared" si="120"/>
        <v>235225</v>
      </c>
      <c r="K245" s="25">
        <f t="shared" si="119"/>
        <v>234256</v>
      </c>
      <c r="L245" s="24">
        <f t="shared" si="116"/>
        <v>1.0041365002390548</v>
      </c>
      <c r="M245">
        <f t="shared" si="117"/>
        <v>-36579</v>
      </c>
      <c r="N245" s="24">
        <f t="shared" si="118"/>
        <v>-7.0080958534890492E-4</v>
      </c>
    </row>
    <row r="246" spans="1:14" x14ac:dyDescent="0.25">
      <c r="A246">
        <v>243</v>
      </c>
      <c r="B246" s="27">
        <f t="shared" si="108"/>
        <v>280.25889749282476</v>
      </c>
      <c r="C246">
        <f t="shared" si="109"/>
        <v>281</v>
      </c>
      <c r="D246">
        <f t="shared" si="110"/>
        <v>563</v>
      </c>
      <c r="E246">
        <f t="shared" si="111"/>
        <v>973</v>
      </c>
      <c r="F246">
        <f t="shared" si="112"/>
        <v>273899</v>
      </c>
      <c r="G246" s="24">
        <f t="shared" si="113"/>
        <v>272735.64836302568</v>
      </c>
      <c r="H246" s="24">
        <f t="shared" si="114"/>
        <v>1.0042654916728224</v>
      </c>
      <c r="I246">
        <f t="shared" si="115"/>
        <v>487</v>
      </c>
      <c r="J246">
        <f t="shared" si="120"/>
        <v>237169</v>
      </c>
      <c r="K246" s="25">
        <f t="shared" si="119"/>
        <v>236196</v>
      </c>
      <c r="L246" s="24">
        <f t="shared" si="116"/>
        <v>1.0041194601094006</v>
      </c>
      <c r="M246">
        <f t="shared" si="117"/>
        <v>-36730</v>
      </c>
      <c r="N246" s="24">
        <f t="shared" si="118"/>
        <v>-1.4603156342185564E-4</v>
      </c>
    </row>
    <row r="247" spans="1:14" x14ac:dyDescent="0.25">
      <c r="A247">
        <v>244</v>
      </c>
      <c r="B247" s="27">
        <f t="shared" si="108"/>
        <v>281.413598031204</v>
      </c>
      <c r="C247">
        <f t="shared" si="109"/>
        <v>282</v>
      </c>
      <c r="D247">
        <f t="shared" si="110"/>
        <v>565</v>
      </c>
      <c r="E247">
        <f t="shared" si="111"/>
        <v>977</v>
      </c>
      <c r="F247">
        <f t="shared" si="112"/>
        <v>276002</v>
      </c>
      <c r="G247" s="24">
        <f t="shared" si="113"/>
        <v>274985.00501178851</v>
      </c>
      <c r="H247" s="24">
        <f t="shared" si="114"/>
        <v>1.0036983652551088</v>
      </c>
      <c r="I247">
        <f t="shared" si="115"/>
        <v>489</v>
      </c>
      <c r="J247">
        <f t="shared" si="120"/>
        <v>239121</v>
      </c>
      <c r="K247" s="25">
        <f t="shared" si="119"/>
        <v>238144</v>
      </c>
      <c r="L247" s="24">
        <f t="shared" si="116"/>
        <v>1.0041025597957538</v>
      </c>
      <c r="M247">
        <f t="shared" si="117"/>
        <v>-36881</v>
      </c>
      <c r="N247" s="24">
        <f t="shared" si="118"/>
        <v>4.041945406449976E-4</v>
      </c>
    </row>
    <row r="248" spans="1:14" x14ac:dyDescent="0.25">
      <c r="A248">
        <v>245</v>
      </c>
      <c r="B248" s="27">
        <f t="shared" si="108"/>
        <v>282.56829856958331</v>
      </c>
      <c r="C248">
        <f t="shared" si="109"/>
        <v>283</v>
      </c>
      <c r="D248">
        <f t="shared" si="110"/>
        <v>567</v>
      </c>
      <c r="E248">
        <f t="shared" si="111"/>
        <v>981</v>
      </c>
      <c r="F248">
        <f t="shared" si="112"/>
        <v>278113</v>
      </c>
      <c r="G248" s="24">
        <f t="shared" si="113"/>
        <v>277243.59926485829</v>
      </c>
      <c r="H248" s="24">
        <f t="shared" si="114"/>
        <v>1.0031358730641466</v>
      </c>
      <c r="I248">
        <f t="shared" si="115"/>
        <v>491</v>
      </c>
      <c r="J248">
        <f t="shared" si="120"/>
        <v>241081</v>
      </c>
      <c r="K248" s="25">
        <f t="shared" si="119"/>
        <v>240100</v>
      </c>
      <c r="L248" s="24">
        <f t="shared" si="116"/>
        <v>1.0040857975843398</v>
      </c>
      <c r="M248">
        <f t="shared" si="117"/>
        <v>-37032</v>
      </c>
      <c r="N248" s="24">
        <f t="shared" si="118"/>
        <v>9.4992452019315721E-4</v>
      </c>
    </row>
    <row r="249" spans="1:14" x14ac:dyDescent="0.25">
      <c r="A249">
        <v>246</v>
      </c>
      <c r="B249" s="27">
        <f t="shared" si="108"/>
        <v>283.72299910796249</v>
      </c>
      <c r="C249">
        <f t="shared" si="109"/>
        <v>284</v>
      </c>
      <c r="D249">
        <f t="shared" si="110"/>
        <v>569</v>
      </c>
      <c r="E249">
        <f t="shared" si="111"/>
        <v>985</v>
      </c>
      <c r="F249">
        <f t="shared" si="112"/>
        <v>280232</v>
      </c>
      <c r="G249" s="24">
        <f t="shared" si="113"/>
        <v>279511.43112223514</v>
      </c>
      <c r="H249" s="24">
        <f t="shared" si="114"/>
        <v>1.0025779585288221</v>
      </c>
      <c r="I249">
        <f t="shared" si="115"/>
        <v>493</v>
      </c>
      <c r="J249">
        <f t="shared" si="120"/>
        <v>243049</v>
      </c>
      <c r="K249" s="25">
        <f t="shared" si="119"/>
        <v>242064</v>
      </c>
      <c r="L249" s="24">
        <f t="shared" si="116"/>
        <v>1.0040691717892789</v>
      </c>
      <c r="M249">
        <f t="shared" si="117"/>
        <v>-37183</v>
      </c>
      <c r="N249" s="24">
        <f t="shared" si="118"/>
        <v>1.4912132604567585E-3</v>
      </c>
    </row>
    <row r="250" spans="1:14" x14ac:dyDescent="0.25">
      <c r="A250">
        <v>247</v>
      </c>
      <c r="B250" s="27">
        <f t="shared" si="108"/>
        <v>284.8776996463418</v>
      </c>
      <c r="C250">
        <f t="shared" si="109"/>
        <v>285</v>
      </c>
      <c r="D250">
        <f t="shared" si="110"/>
        <v>571</v>
      </c>
      <c r="E250">
        <f t="shared" si="111"/>
        <v>989</v>
      </c>
      <c r="F250">
        <f t="shared" si="112"/>
        <v>282359</v>
      </c>
      <c r="G250" s="24">
        <f t="shared" si="113"/>
        <v>281788.50058391906</v>
      </c>
      <c r="H250" s="24">
        <f t="shared" si="114"/>
        <v>1.0020245659950593</v>
      </c>
      <c r="I250">
        <f t="shared" si="115"/>
        <v>495</v>
      </c>
      <c r="J250">
        <f t="shared" si="120"/>
        <v>245025</v>
      </c>
      <c r="K250" s="25">
        <f t="shared" si="119"/>
        <v>244036</v>
      </c>
      <c r="L250" s="24">
        <f t="shared" si="116"/>
        <v>1.0040526807520203</v>
      </c>
      <c r="M250">
        <f t="shared" si="117"/>
        <v>-37334</v>
      </c>
      <c r="N250" s="24">
        <f t="shared" si="118"/>
        <v>2.0281147569609637E-3</v>
      </c>
    </row>
    <row r="251" spans="1:14" x14ac:dyDescent="0.25">
      <c r="A251">
        <v>248</v>
      </c>
      <c r="B251" s="27">
        <f t="shared" ref="B251:B259" si="121">(A251*SQRT(3)*2+2)/3-1</f>
        <v>286.03240018472104</v>
      </c>
      <c r="C251">
        <f t="shared" ref="C251:C259" si="122">CEILING(B251,1)</f>
        <v>287</v>
      </c>
      <c r="D251">
        <f t="shared" ref="D251:D259" si="123">2*C251+1</f>
        <v>575</v>
      </c>
      <c r="E251">
        <f t="shared" ref="E251:E259" si="124">4*A251+1</f>
        <v>993</v>
      </c>
      <c r="F251">
        <f t="shared" ref="F251:F259" si="125">((D251*E251)-1)/2</f>
        <v>285487</v>
      </c>
      <c r="G251" s="24">
        <f t="shared" ref="G251:G259" si="126">(2*A251)*(2*A251)/G$2</f>
        <v>284074.80764990998</v>
      </c>
      <c r="H251" s="24">
        <f t="shared" ref="H251:H259" si="127">F251/G251</f>
        <v>1.0049711988253123</v>
      </c>
      <c r="I251">
        <f t="shared" ref="I251:I259" si="128">A251*2+1</f>
        <v>497</v>
      </c>
      <c r="J251">
        <f t="shared" si="120"/>
        <v>247009</v>
      </c>
      <c r="K251" s="25">
        <f t="shared" si="119"/>
        <v>246016</v>
      </c>
      <c r="L251" s="24">
        <f t="shared" ref="L251:L259" si="129">J251/K251</f>
        <v>1.0040363228407909</v>
      </c>
      <c r="M251">
        <f t="shared" ref="M251:M259" si="130">J251-F251</f>
        <v>-38478</v>
      </c>
      <c r="N251" s="24">
        <f t="shared" ref="N251:N259" si="131">L251-H251</f>
        <v>-9.3487598452135501E-4</v>
      </c>
    </row>
    <row r="252" spans="1:14" x14ac:dyDescent="0.25">
      <c r="A252">
        <v>249</v>
      </c>
      <c r="B252" s="27">
        <f t="shared" si="121"/>
        <v>287.18710072310029</v>
      </c>
      <c r="C252">
        <f t="shared" si="122"/>
        <v>288</v>
      </c>
      <c r="D252">
        <f t="shared" si="123"/>
        <v>577</v>
      </c>
      <c r="E252">
        <f t="shared" si="124"/>
        <v>997</v>
      </c>
      <c r="F252">
        <f t="shared" si="125"/>
        <v>287634</v>
      </c>
      <c r="G252" s="24">
        <f t="shared" si="126"/>
        <v>286370.35232020792</v>
      </c>
      <c r="H252" s="24">
        <f t="shared" si="127"/>
        <v>1.0044126344419171</v>
      </c>
      <c r="I252">
        <f t="shared" si="128"/>
        <v>499</v>
      </c>
      <c r="J252">
        <f t="shared" si="120"/>
        <v>249001</v>
      </c>
      <c r="K252" s="25">
        <f t="shared" si="119"/>
        <v>248004</v>
      </c>
      <c r="L252" s="24">
        <f t="shared" si="129"/>
        <v>1.0040200964500572</v>
      </c>
      <c r="M252">
        <f t="shared" si="130"/>
        <v>-38633</v>
      </c>
      <c r="N252" s="24">
        <f t="shared" si="131"/>
        <v>-3.9253799185989813E-4</v>
      </c>
    </row>
    <row r="253" spans="1:14" x14ac:dyDescent="0.25">
      <c r="A253">
        <v>250</v>
      </c>
      <c r="B253" s="27">
        <f t="shared" si="121"/>
        <v>288.34180126147953</v>
      </c>
      <c r="C253">
        <f t="shared" si="122"/>
        <v>289</v>
      </c>
      <c r="D253">
        <f t="shared" si="123"/>
        <v>579</v>
      </c>
      <c r="E253">
        <f t="shared" si="124"/>
        <v>1001</v>
      </c>
      <c r="F253">
        <f t="shared" si="125"/>
        <v>289789</v>
      </c>
      <c r="G253" s="24">
        <f t="shared" si="126"/>
        <v>288675.13459481287</v>
      </c>
      <c r="H253" s="24">
        <f t="shared" si="127"/>
        <v>1.0038585429491549</v>
      </c>
      <c r="I253">
        <f t="shared" si="128"/>
        <v>501</v>
      </c>
      <c r="J253">
        <f t="shared" si="120"/>
        <v>251001</v>
      </c>
      <c r="K253" s="25">
        <f t="shared" si="119"/>
        <v>250000</v>
      </c>
      <c r="L253" s="24">
        <f t="shared" si="129"/>
        <v>1.0040039999999999</v>
      </c>
      <c r="M253">
        <f t="shared" si="130"/>
        <v>-38788</v>
      </c>
      <c r="N253" s="24">
        <f t="shared" si="131"/>
        <v>1.4545705084501037E-4</v>
      </c>
    </row>
    <row r="254" spans="1:14" x14ac:dyDescent="0.25">
      <c r="A254">
        <v>251</v>
      </c>
      <c r="B254" s="27">
        <f t="shared" si="121"/>
        <v>289.49650179985878</v>
      </c>
      <c r="C254">
        <f t="shared" si="122"/>
        <v>290</v>
      </c>
      <c r="D254">
        <f t="shared" si="123"/>
        <v>581</v>
      </c>
      <c r="E254">
        <f t="shared" si="124"/>
        <v>1005</v>
      </c>
      <c r="F254">
        <f t="shared" si="125"/>
        <v>291952</v>
      </c>
      <c r="G254" s="24">
        <f t="shared" si="126"/>
        <v>290989.15447372489</v>
      </c>
      <c r="H254" s="24">
        <f t="shared" si="127"/>
        <v>1.0033088708340916</v>
      </c>
      <c r="I254">
        <f t="shared" si="128"/>
        <v>503</v>
      </c>
      <c r="J254">
        <f t="shared" si="120"/>
        <v>253009</v>
      </c>
      <c r="K254" s="25">
        <f t="shared" si="119"/>
        <v>252004</v>
      </c>
      <c r="L254" s="24">
        <f t="shared" si="129"/>
        <v>1.0039880319360011</v>
      </c>
      <c r="M254">
        <f t="shared" si="130"/>
        <v>-38943</v>
      </c>
      <c r="N254" s="24">
        <f t="shared" si="131"/>
        <v>6.7916110190946455E-4</v>
      </c>
    </row>
    <row r="255" spans="1:14" x14ac:dyDescent="0.25">
      <c r="A255">
        <v>252</v>
      </c>
      <c r="B255" s="27">
        <f t="shared" si="121"/>
        <v>290.65120233823802</v>
      </c>
      <c r="C255">
        <f t="shared" si="122"/>
        <v>291</v>
      </c>
      <c r="D255">
        <f t="shared" si="123"/>
        <v>583</v>
      </c>
      <c r="E255">
        <f t="shared" si="124"/>
        <v>1009</v>
      </c>
      <c r="F255">
        <f t="shared" si="125"/>
        <v>294123</v>
      </c>
      <c r="G255" s="24">
        <f t="shared" si="126"/>
        <v>293312.41195694398</v>
      </c>
      <c r="H255" s="24">
        <f t="shared" si="127"/>
        <v>1.0027635654340294</v>
      </c>
      <c r="I255">
        <f t="shared" si="128"/>
        <v>505</v>
      </c>
      <c r="J255">
        <f t="shared" si="120"/>
        <v>255025</v>
      </c>
      <c r="K255" s="25">
        <f t="shared" si="119"/>
        <v>254016</v>
      </c>
      <c r="L255" s="24">
        <f t="shared" si="129"/>
        <v>1.0039721907281431</v>
      </c>
      <c r="M255">
        <f t="shared" si="130"/>
        <v>-39098</v>
      </c>
      <c r="N255" s="24">
        <f t="shared" si="131"/>
        <v>1.2086252941136966E-3</v>
      </c>
    </row>
    <row r="256" spans="1:14" x14ac:dyDescent="0.25">
      <c r="A256">
        <v>253</v>
      </c>
      <c r="B256" s="27">
        <f t="shared" si="121"/>
        <v>291.80590287661727</v>
      </c>
      <c r="C256">
        <f t="shared" si="122"/>
        <v>292</v>
      </c>
      <c r="D256">
        <f t="shared" si="123"/>
        <v>585</v>
      </c>
      <c r="E256">
        <f t="shared" si="124"/>
        <v>1013</v>
      </c>
      <c r="F256">
        <f t="shared" si="125"/>
        <v>296302</v>
      </c>
      <c r="G256" s="24">
        <f t="shared" si="126"/>
        <v>295644.90704447008</v>
      </c>
      <c r="H256" s="24">
        <f t="shared" si="127"/>
        <v>1.002222574919686</v>
      </c>
      <c r="I256">
        <f t="shared" si="128"/>
        <v>507</v>
      </c>
      <c r="J256">
        <f t="shared" si="120"/>
        <v>257049</v>
      </c>
      <c r="K256" s="25">
        <f t="shared" si="119"/>
        <v>256036</v>
      </c>
      <c r="L256" s="24">
        <f t="shared" si="129"/>
        <v>1.0039564748707213</v>
      </c>
      <c r="M256">
        <f t="shared" si="130"/>
        <v>-39253</v>
      </c>
      <c r="N256" s="24">
        <f t="shared" si="131"/>
        <v>1.7338999510352338E-3</v>
      </c>
    </row>
    <row r="257" spans="1:14" x14ac:dyDescent="0.25">
      <c r="A257">
        <v>254</v>
      </c>
      <c r="B257" s="27">
        <f t="shared" si="121"/>
        <v>292.96060341499657</v>
      </c>
      <c r="C257">
        <f t="shared" si="122"/>
        <v>293</v>
      </c>
      <c r="D257">
        <f t="shared" si="123"/>
        <v>587</v>
      </c>
      <c r="E257">
        <f t="shared" si="124"/>
        <v>1017</v>
      </c>
      <c r="F257">
        <f t="shared" si="125"/>
        <v>298489</v>
      </c>
      <c r="G257" s="24">
        <f t="shared" si="126"/>
        <v>297986.63973630319</v>
      </c>
      <c r="H257" s="24">
        <f t="shared" si="127"/>
        <v>1.0016858482787732</v>
      </c>
      <c r="I257">
        <f t="shared" si="128"/>
        <v>509</v>
      </c>
      <c r="J257">
        <f t="shared" si="120"/>
        <v>259081</v>
      </c>
      <c r="K257" s="25">
        <f t="shared" si="119"/>
        <v>258064</v>
      </c>
      <c r="L257" s="24">
        <f t="shared" si="129"/>
        <v>1.0039408828817658</v>
      </c>
      <c r="M257">
        <f t="shared" si="130"/>
        <v>-39408</v>
      </c>
      <c r="N257" s="24">
        <f t="shared" si="131"/>
        <v>2.2550346029925894E-3</v>
      </c>
    </row>
    <row r="258" spans="1:14" x14ac:dyDescent="0.25">
      <c r="A258">
        <v>255</v>
      </c>
      <c r="B258" s="27">
        <f t="shared" si="121"/>
        <v>294.11530395337576</v>
      </c>
      <c r="C258">
        <f t="shared" si="122"/>
        <v>295</v>
      </c>
      <c r="D258">
        <f t="shared" si="123"/>
        <v>591</v>
      </c>
      <c r="E258">
        <f t="shared" si="124"/>
        <v>1021</v>
      </c>
      <c r="F258">
        <f t="shared" si="125"/>
        <v>301705</v>
      </c>
      <c r="G258" s="24">
        <f t="shared" si="126"/>
        <v>300337.61003244336</v>
      </c>
      <c r="H258" s="24">
        <f t="shared" si="127"/>
        <v>1.0045528429403461</v>
      </c>
      <c r="I258">
        <f t="shared" si="128"/>
        <v>511</v>
      </c>
      <c r="J258">
        <f t="shared" si="120"/>
        <v>261121</v>
      </c>
      <c r="K258" s="25">
        <f t="shared" si="119"/>
        <v>260100</v>
      </c>
      <c r="L258" s="24">
        <f t="shared" si="129"/>
        <v>1.0039254133025759</v>
      </c>
      <c r="M258">
        <f t="shared" si="130"/>
        <v>-40584</v>
      </c>
      <c r="N258" s="24">
        <f t="shared" si="131"/>
        <v>-6.2742963777018268E-4</v>
      </c>
    </row>
    <row r="259" spans="1:14" x14ac:dyDescent="0.25">
      <c r="A259">
        <v>256</v>
      </c>
      <c r="B259" s="27">
        <f t="shared" si="121"/>
        <v>295.27000449175506</v>
      </c>
      <c r="C259">
        <f t="shared" si="122"/>
        <v>296</v>
      </c>
      <c r="D259">
        <f t="shared" si="123"/>
        <v>593</v>
      </c>
      <c r="E259">
        <f t="shared" si="124"/>
        <v>1025</v>
      </c>
      <c r="F259">
        <f t="shared" si="125"/>
        <v>303912</v>
      </c>
      <c r="G259" s="24">
        <f t="shared" si="126"/>
        <v>302697.81793289055</v>
      </c>
      <c r="H259" s="24">
        <f t="shared" si="127"/>
        <v>1.0040112019154979</v>
      </c>
      <c r="I259">
        <f t="shared" si="128"/>
        <v>513</v>
      </c>
      <c r="J259">
        <f t="shared" si="120"/>
        <v>263169</v>
      </c>
      <c r="K259" s="25">
        <f t="shared" si="119"/>
        <v>262144</v>
      </c>
      <c r="L259" s="24">
        <f t="shared" si="129"/>
        <v>1.0039100646972656</v>
      </c>
      <c r="M259">
        <f t="shared" si="130"/>
        <v>-40743</v>
      </c>
      <c r="N259" s="24">
        <f t="shared" si="131"/>
        <v>-1.0113721823223898E-4</v>
      </c>
    </row>
  </sheetData>
  <mergeCells count="3">
    <mergeCell ref="M1:N1"/>
    <mergeCell ref="B1:H1"/>
    <mergeCell ref="I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90C1-2267-4245-BFB5-9E6C2F99B69D}">
  <dimension ref="A1:AR24"/>
  <sheetViews>
    <sheetView workbookViewId="0">
      <selection activeCell="V6" sqref="V6"/>
    </sheetView>
  </sheetViews>
  <sheetFormatPr defaultRowHeight="15" x14ac:dyDescent="0.25"/>
  <cols>
    <col min="1" max="20" width="5.42578125" customWidth="1"/>
    <col min="24" max="33" width="5.42578125" customWidth="1"/>
    <col min="35" max="44" width="5.28515625" customWidth="1"/>
  </cols>
  <sheetData>
    <row r="1" spans="1:44" ht="15.75" thickBot="1" x14ac:dyDescent="0.3">
      <c r="A1" s="36"/>
      <c r="B1" s="40">
        <v>-9</v>
      </c>
      <c r="C1" s="41">
        <v>-8</v>
      </c>
      <c r="D1" s="41">
        <v>-7</v>
      </c>
      <c r="E1" s="41">
        <v>-6</v>
      </c>
      <c r="F1" s="41">
        <v>-5</v>
      </c>
      <c r="G1" s="41">
        <v>-4</v>
      </c>
      <c r="H1" s="41">
        <v>-3</v>
      </c>
      <c r="I1" s="41">
        <v>-2</v>
      </c>
      <c r="J1" s="41">
        <v>-1</v>
      </c>
      <c r="K1" s="41">
        <v>0</v>
      </c>
      <c r="L1" s="41">
        <v>1</v>
      </c>
      <c r="M1" s="41">
        <v>2</v>
      </c>
      <c r="N1" s="41">
        <v>3</v>
      </c>
      <c r="O1" s="41">
        <v>4</v>
      </c>
      <c r="P1" s="41">
        <v>5</v>
      </c>
      <c r="Q1" s="41">
        <v>6</v>
      </c>
      <c r="R1" s="41">
        <v>7</v>
      </c>
      <c r="S1" s="41">
        <v>8</v>
      </c>
      <c r="T1" s="42">
        <v>9</v>
      </c>
      <c r="X1" s="36"/>
      <c r="Y1" s="29">
        <v>-4</v>
      </c>
      <c r="Z1" s="29">
        <v>-3</v>
      </c>
      <c r="AA1" s="29">
        <v>-2</v>
      </c>
      <c r="AB1" s="29">
        <v>-1</v>
      </c>
      <c r="AC1" s="29">
        <v>0</v>
      </c>
      <c r="AD1" s="29">
        <v>1</v>
      </c>
      <c r="AE1" s="29">
        <v>2</v>
      </c>
      <c r="AF1" s="29">
        <v>3</v>
      </c>
      <c r="AG1" s="30">
        <v>4</v>
      </c>
      <c r="AI1" s="36"/>
      <c r="AJ1" s="41">
        <v>-4</v>
      </c>
      <c r="AK1" s="41">
        <v>-3</v>
      </c>
      <c r="AL1" s="41">
        <v>-2</v>
      </c>
      <c r="AM1" s="41">
        <v>-1</v>
      </c>
      <c r="AN1" s="41">
        <v>0</v>
      </c>
      <c r="AO1" s="41">
        <v>1</v>
      </c>
      <c r="AP1" s="41">
        <v>2</v>
      </c>
      <c r="AQ1" s="41">
        <v>3</v>
      </c>
      <c r="AR1" s="42">
        <v>4</v>
      </c>
    </row>
    <row r="2" spans="1:44" x14ac:dyDescent="0.25">
      <c r="A2" s="37">
        <v>11</v>
      </c>
      <c r="B2" s="43">
        <v>0</v>
      </c>
      <c r="C2" s="44">
        <v>-1</v>
      </c>
      <c r="D2" s="44">
        <v>0</v>
      </c>
      <c r="E2" s="44">
        <v>-1</v>
      </c>
      <c r="F2" s="44">
        <v>0</v>
      </c>
      <c r="G2" s="44">
        <v>-1</v>
      </c>
      <c r="H2" s="44">
        <v>0</v>
      </c>
      <c r="I2" s="44">
        <v>-1</v>
      </c>
      <c r="J2" s="44">
        <v>0</v>
      </c>
      <c r="K2" s="44">
        <v>-1</v>
      </c>
      <c r="L2" s="44">
        <v>0</v>
      </c>
      <c r="M2" s="44">
        <v>-1</v>
      </c>
      <c r="N2" s="44">
        <v>0</v>
      </c>
      <c r="O2" s="44">
        <v>-1</v>
      </c>
      <c r="P2" s="44">
        <v>0</v>
      </c>
      <c r="Q2" s="44">
        <v>-1</v>
      </c>
      <c r="R2" s="44">
        <v>0</v>
      </c>
      <c r="S2" s="44">
        <v>-1</v>
      </c>
      <c r="T2" s="45">
        <v>0</v>
      </c>
      <c r="X2" s="31">
        <v>6</v>
      </c>
      <c r="Y2" s="28">
        <f t="shared" ref="Y2:AB14" ca="1" si="0">MIN(INDIRECT(_xlfn.TEXTJOIN(,,"W",TEXT(13+$X2-$V$4,"0"),"K",TEXT(11+Y$1-$V$3,"0")),FALSE),INDIRECT(_xlfn.TEXTJOIN(,,"W",TEXT(13+$X2-$V$7,"0"),"K",TEXT(11+Y$1-$V$6,"0")),FALSE))</f>
        <v>0</v>
      </c>
      <c r="Z2" s="29">
        <f t="shared" ca="1" si="0"/>
        <v>-1</v>
      </c>
      <c r="AA2" s="29">
        <f t="shared" ca="1" si="0"/>
        <v>0</v>
      </c>
      <c r="AB2" s="29">
        <f t="shared" ca="1" si="0"/>
        <v>-1</v>
      </c>
      <c r="AC2" s="29">
        <f t="shared" ref="AC2:AG7" ca="1" si="1">MIN(INDIRECT(_xlfn.TEXTJOIN(,,"W",TEXT(13+$X2-$V$4,"0"),"K",TEXT(11+AC$1-$V$3,"0")),FALSE),INDIRECT(_xlfn.TEXTJOIN(,,"W",TEXT(13+$X2-$V$7,"0"),"K",TEXT(11+AC$1-$V$6,"0")),FALSE))</f>
        <v>0</v>
      </c>
      <c r="AD2" s="29">
        <f t="shared" ca="1" si="1"/>
        <v>-1</v>
      </c>
      <c r="AE2" s="29">
        <f t="shared" ca="1" si="1"/>
        <v>0</v>
      </c>
      <c r="AF2" s="29">
        <f t="shared" ca="1" si="1"/>
        <v>-1</v>
      </c>
      <c r="AG2" s="30">
        <f t="shared" ca="1" si="1"/>
        <v>0</v>
      </c>
      <c r="AI2" s="38">
        <v>6</v>
      </c>
      <c r="AJ2" s="62" t="str" cm="1">
        <f t="array" aca="1" ref="AJ2" ca="1">_xlfn.TEXTJOIN("*",,TEXT(INDIRECT(_xlfn.TEXTJOIN(,,"W",TEXT(13+$AI2-$V$4,"0"),"K",TEXT(11+AJ$1-$V$3,"0")),FALSE),"0"),TEXT(INDIRECT(_xlfn.TEXTJOIN(,,"W",TEXT(13+$AI2-$V$7,"0"),"K",TEXT(11+AJ$1-$V$6,"0")),FALSE),"0"))</f>
        <v>0*0</v>
      </c>
      <c r="AK2" s="63" t="str" cm="1">
        <f t="array" aca="1" ref="AK2" ca="1">_xlfn.TEXTJOIN("*",,TEXT(INDIRECT(_xlfn.TEXTJOIN(,,"W",TEXT(13+$AI2-$V$4,"0"),"K",TEXT(11+AK$1-$V$3,"0")),FALSE),"0"),TEXT(INDIRECT(_xlfn.TEXTJOIN(,,"W",TEXT(13+$AI2-$V$7,"0"),"K",TEXT(11+AK$1-$V$6,"0")),FALSE),"0"))</f>
        <v>-1*-1</v>
      </c>
      <c r="AL2" s="63" t="str" cm="1">
        <f t="array" aca="1" ref="AL2" ca="1">_xlfn.TEXTJOIN("*",,TEXT(INDIRECT(_xlfn.TEXTJOIN(,,"W",TEXT(13+$AI2-$V$4,"0"),"K",TEXT(11+AL$1-$V$3,"0")),FALSE),"0"),TEXT(INDIRECT(_xlfn.TEXTJOIN(,,"W",TEXT(13+$AI2-$V$7,"0"),"K",TEXT(11+AL$1-$V$6,"0")),FALSE),"0"))</f>
        <v>1*0</v>
      </c>
      <c r="AM2" s="63" t="str" cm="1">
        <f t="array" aca="1" ref="AM2" ca="1">_xlfn.TEXTJOIN("*",,TEXT(INDIRECT(_xlfn.TEXTJOIN(,,"W",TEXT(13+$AI2-$V$4,"0"),"K",TEXT(11+AM$1-$V$3,"0")),FALSE),"0"),TEXT(INDIRECT(_xlfn.TEXTJOIN(,,"W",TEXT(13+$AI2-$V$7,"0"),"K",TEXT(11+AM$1-$V$6,"0")),FALSE),"0"))</f>
        <v>-1*-1</v>
      </c>
      <c r="AN2" s="63" t="str" cm="1">
        <f t="array" aca="1" ref="AN2" ca="1">_xlfn.TEXTJOIN("*",,TEXT(INDIRECT(_xlfn.TEXTJOIN(,,"W",TEXT(13+$AI2-$V$4,"0"),"K",TEXT(11+AN$1-$V$3,"0")),FALSE),"0"),TEXT(INDIRECT(_xlfn.TEXTJOIN(,,"W",TEXT(13+$AI2-$V$7,"0"),"K",TEXT(11+AN$1-$V$6,"0")),FALSE),"0"))</f>
        <v>1*0</v>
      </c>
      <c r="AO2" s="63" t="str" cm="1">
        <f t="array" aca="1" ref="AO2" ca="1">_xlfn.TEXTJOIN("*",,TEXT(INDIRECT(_xlfn.TEXTJOIN(,,"W",TEXT(13+$AI2-$V$4,"0"),"K",TEXT(11+AO$1-$V$3,"0")),FALSE),"0"),TEXT(INDIRECT(_xlfn.TEXTJOIN(,,"W",TEXT(13+$AI2-$V$7,"0"),"K",TEXT(11+AO$1-$V$6,"0")),FALSE),"0"))</f>
        <v>-1*-1</v>
      </c>
      <c r="AP2" s="63" t="str" cm="1">
        <f t="array" aca="1" ref="AP2" ca="1">_xlfn.TEXTJOIN("*",,TEXT(INDIRECT(_xlfn.TEXTJOIN(,,"W",TEXT(13+$AI2-$V$4,"0"),"K",TEXT(11+AP$1-$V$3,"0")),FALSE),"0"),TEXT(INDIRECT(_xlfn.TEXTJOIN(,,"W",TEXT(13+$AI2-$V$7,"0"),"K",TEXT(11+AP$1-$V$6,"0")),FALSE),"0"))</f>
        <v>1*0</v>
      </c>
      <c r="AQ2" s="63" t="str" cm="1">
        <f t="array" aca="1" ref="AQ2" ca="1">_xlfn.TEXTJOIN("*",,TEXT(INDIRECT(_xlfn.TEXTJOIN(,,"W",TEXT(13+$AI2-$V$4,"0"),"K",TEXT(11+AQ$1-$V$3,"0")),FALSE),"0"),TEXT(INDIRECT(_xlfn.TEXTJOIN(,,"W",TEXT(13+$AI2-$V$7,"0"),"K",TEXT(11+AQ$1-$V$6,"0")),FALSE),"0"))</f>
        <v>-1*-1</v>
      </c>
      <c r="AR2" s="64" t="str" cm="1">
        <f t="array" aca="1" ref="AR2" ca="1">_xlfn.TEXTJOIN("*",,TEXT(INDIRECT(_xlfn.TEXTJOIN(,,"W",TEXT(13+$AI2-$V$4,"0"),"K",TEXT(11+AR$1-$V$3,"0")),FALSE),"0"),TEXT(INDIRECT(_xlfn.TEXTJOIN(,,"W",TEXT(13+$AI2-$V$7,"0"),"K",TEXT(11+AR$1-$V$6,"0")),FALSE),"0"))</f>
        <v>0*0</v>
      </c>
    </row>
    <row r="3" spans="1:44" x14ac:dyDescent="0.25">
      <c r="A3" s="38">
        <v>10</v>
      </c>
      <c r="B3" s="46">
        <v>-1</v>
      </c>
      <c r="C3" s="47">
        <v>0</v>
      </c>
      <c r="D3" s="47">
        <v>-1</v>
      </c>
      <c r="E3" s="47">
        <v>0</v>
      </c>
      <c r="F3" s="47">
        <v>-1</v>
      </c>
      <c r="G3" s="47">
        <v>0</v>
      </c>
      <c r="H3" s="47">
        <v>-1</v>
      </c>
      <c r="I3" s="47">
        <v>0</v>
      </c>
      <c r="J3" s="47">
        <v>-1</v>
      </c>
      <c r="K3" s="47">
        <v>0</v>
      </c>
      <c r="L3" s="47">
        <v>-1</v>
      </c>
      <c r="M3" s="47">
        <v>0</v>
      </c>
      <c r="N3" s="47">
        <v>-1</v>
      </c>
      <c r="O3" s="47">
        <v>0</v>
      </c>
      <c r="P3" s="47">
        <v>-1</v>
      </c>
      <c r="Q3" s="47">
        <v>0</v>
      </c>
      <c r="R3" s="47">
        <v>-1</v>
      </c>
      <c r="S3" s="47">
        <v>0</v>
      </c>
      <c r="T3" s="48">
        <v>-1</v>
      </c>
      <c r="U3" s="55" t="s">
        <v>13</v>
      </c>
      <c r="V3" s="56">
        <v>0</v>
      </c>
      <c r="X3" s="31">
        <v>5</v>
      </c>
      <c r="Y3" s="31">
        <f t="shared" ca="1" si="0"/>
        <v>-1</v>
      </c>
      <c r="Z3" s="15">
        <f t="shared" ca="1" si="0"/>
        <v>0</v>
      </c>
      <c r="AA3" s="15">
        <f t="shared" ca="1" si="0"/>
        <v>-1</v>
      </c>
      <c r="AB3" s="15">
        <f t="shared" ca="1" si="0"/>
        <v>0</v>
      </c>
      <c r="AC3" s="15">
        <f t="shared" ca="1" si="1"/>
        <v>-1</v>
      </c>
      <c r="AD3" s="15">
        <f t="shared" ca="1" si="1"/>
        <v>0</v>
      </c>
      <c r="AE3" s="15">
        <f t="shared" ca="1" si="1"/>
        <v>-1</v>
      </c>
      <c r="AF3" s="15">
        <f t="shared" ca="1" si="1"/>
        <v>0</v>
      </c>
      <c r="AG3" s="32">
        <f t="shared" ca="1" si="1"/>
        <v>-1</v>
      </c>
      <c r="AI3" s="38">
        <v>5</v>
      </c>
      <c r="AJ3" s="65" t="str" cm="1">
        <f t="array" aca="1" ref="AJ3" ca="1">_xlfn.TEXTJOIN("*",,TEXT(INDIRECT(_xlfn.TEXTJOIN(,,"W",TEXT(13+$AI3-$V$4,"0"),"K",TEXT(11+AJ$1-$V$3,"0")),FALSE),"0"),TEXT(INDIRECT(_xlfn.TEXTJOIN(,,"W",TEXT(13+$AI3-$V$7,"0"),"K",TEXT(11+AJ$1-$V$6,"0")),FALSE),"0"))</f>
        <v>-1*-1</v>
      </c>
      <c r="AK3" s="53" t="str" cm="1">
        <f t="array" aca="1" ref="AK3" ca="1">_xlfn.TEXTJOIN("*",,TEXT(INDIRECT(_xlfn.TEXTJOIN(,,"W",TEXT(13+$AI3-$V$4,"0"),"K",TEXT(11+AK$1-$V$3,"0")),FALSE),"0"),TEXT(INDIRECT(_xlfn.TEXTJOIN(,,"W",TEXT(13+$AI3-$V$7,"0"),"K",TEXT(11+AK$1-$V$6,"0")),FALSE),"0"))</f>
        <v>0*0</v>
      </c>
      <c r="AL3" s="53" t="str" cm="1">
        <f t="array" aca="1" ref="AL3" ca="1">_xlfn.TEXTJOIN("*",,TEXT(INDIRECT(_xlfn.TEXTJOIN(,,"W",TEXT(13+$AI3-$V$4,"0"),"K",TEXT(11+AL$1-$V$3,"0")),FALSE),"0"),TEXT(INDIRECT(_xlfn.TEXTJOIN(,,"W",TEXT(13+$AI3-$V$7,"0"),"K",TEXT(11+AL$1-$V$6,"0")),FALSE),"0"))</f>
        <v>-1*-1</v>
      </c>
      <c r="AM3" s="53" t="str" cm="1">
        <f t="array" aca="1" ref="AM3" ca="1">_xlfn.TEXTJOIN("*",,TEXT(INDIRECT(_xlfn.TEXTJOIN(,,"W",TEXT(13+$AI3-$V$4,"0"),"K",TEXT(11+AM$1-$V$3,"0")),FALSE),"0"),TEXT(INDIRECT(_xlfn.TEXTJOIN(,,"W",TEXT(13+$AI3-$V$7,"0"),"K",TEXT(11+AM$1-$V$6,"0")),FALSE),"0"))</f>
        <v>1*0</v>
      </c>
      <c r="AN3" s="53" t="str" cm="1">
        <f t="array" aca="1" ref="AN3" ca="1">_xlfn.TEXTJOIN("*",,TEXT(INDIRECT(_xlfn.TEXTJOIN(,,"W",TEXT(13+$AI3-$V$4,"0"),"K",TEXT(11+AN$1-$V$3,"0")),FALSE),"0"),TEXT(INDIRECT(_xlfn.TEXTJOIN(,,"W",TEXT(13+$AI3-$V$7,"0"),"K",TEXT(11+AN$1-$V$6,"0")),FALSE),"0"))</f>
        <v>-1*-1</v>
      </c>
      <c r="AO3" s="53" t="str" cm="1">
        <f t="array" aca="1" ref="AO3" ca="1">_xlfn.TEXTJOIN("*",,TEXT(INDIRECT(_xlfn.TEXTJOIN(,,"W",TEXT(13+$AI3-$V$4,"0"),"K",TEXT(11+AO$1-$V$3,"0")),FALSE),"0"),TEXT(INDIRECT(_xlfn.TEXTJOIN(,,"W",TEXT(13+$AI3-$V$7,"0"),"K",TEXT(11+AO$1-$V$6,"0")),FALSE),"0"))</f>
        <v>1*0</v>
      </c>
      <c r="AP3" s="53" t="str" cm="1">
        <f t="array" aca="1" ref="AP3" ca="1">_xlfn.TEXTJOIN("*",,TEXT(INDIRECT(_xlfn.TEXTJOIN(,,"W",TEXT(13+$AI3-$V$4,"0"),"K",TEXT(11+AP$1-$V$3,"0")),FALSE),"0"),TEXT(INDIRECT(_xlfn.TEXTJOIN(,,"W",TEXT(13+$AI3-$V$7,"0"),"K",TEXT(11+AP$1-$V$6,"0")),FALSE),"0"))</f>
        <v>-1*-1</v>
      </c>
      <c r="AQ3" s="53" t="str" cm="1">
        <f t="array" aca="1" ref="AQ3" ca="1">_xlfn.TEXTJOIN("*",,TEXT(INDIRECT(_xlfn.TEXTJOIN(,,"W",TEXT(13+$AI3-$V$4,"0"),"K",TEXT(11+AQ$1-$V$3,"0")),FALSE),"0"),TEXT(INDIRECT(_xlfn.TEXTJOIN(,,"W",TEXT(13+$AI3-$V$7,"0"),"K",TEXT(11+AQ$1-$V$6,"0")),FALSE),"0"))</f>
        <v>0*0</v>
      </c>
      <c r="AR3" s="66" t="str" cm="1">
        <f t="array" aca="1" ref="AR3" ca="1">_xlfn.TEXTJOIN("*",,TEXT(INDIRECT(_xlfn.TEXTJOIN(,,"W",TEXT(13+$AI3-$V$4,"0"),"K",TEXT(11+AR$1-$V$3,"0")),FALSE),"0"),TEXT(INDIRECT(_xlfn.TEXTJOIN(,,"W",TEXT(13+$AI3-$V$7,"0"),"K",TEXT(11+AR$1-$V$6,"0")),FALSE),"0"))</f>
        <v>-1*-1</v>
      </c>
    </row>
    <row r="4" spans="1:44" x14ac:dyDescent="0.25">
      <c r="A4" s="38">
        <v>9</v>
      </c>
      <c r="B4" s="46">
        <v>0</v>
      </c>
      <c r="C4" s="47">
        <v>-1</v>
      </c>
      <c r="D4" s="47">
        <v>0</v>
      </c>
      <c r="E4" s="47">
        <v>-1</v>
      </c>
      <c r="F4" s="47">
        <v>0</v>
      </c>
      <c r="G4" s="47">
        <v>-1</v>
      </c>
      <c r="H4" s="47">
        <v>0</v>
      </c>
      <c r="I4" s="47">
        <v>-1</v>
      </c>
      <c r="J4" s="47">
        <v>0</v>
      </c>
      <c r="K4" s="47">
        <v>-1</v>
      </c>
      <c r="L4" s="47">
        <v>0</v>
      </c>
      <c r="M4" s="47">
        <v>-1</v>
      </c>
      <c r="N4" s="47">
        <v>0</v>
      </c>
      <c r="O4" s="47">
        <v>-1</v>
      </c>
      <c r="P4" s="47">
        <v>0</v>
      </c>
      <c r="Q4" s="47">
        <v>-1</v>
      </c>
      <c r="R4" s="47">
        <v>0</v>
      </c>
      <c r="S4" s="47">
        <v>-1</v>
      </c>
      <c r="T4" s="48">
        <v>0</v>
      </c>
      <c r="U4" s="57" t="s">
        <v>14</v>
      </c>
      <c r="V4" s="56">
        <v>0</v>
      </c>
      <c r="X4" s="31">
        <v>4</v>
      </c>
      <c r="Y4" s="31">
        <f t="shared" ca="1" si="0"/>
        <v>0</v>
      </c>
      <c r="Z4" s="15">
        <f t="shared" ca="1" si="0"/>
        <v>-1</v>
      </c>
      <c r="AA4" s="15">
        <f t="shared" ca="1" si="0"/>
        <v>0</v>
      </c>
      <c r="AB4" s="15">
        <f t="shared" ca="1" si="0"/>
        <v>-1</v>
      </c>
      <c r="AC4" s="15">
        <f t="shared" ca="1" si="1"/>
        <v>0</v>
      </c>
      <c r="AD4" s="15">
        <f t="shared" ca="1" si="1"/>
        <v>-1</v>
      </c>
      <c r="AE4" s="15">
        <f t="shared" ca="1" si="1"/>
        <v>0</v>
      </c>
      <c r="AF4" s="15">
        <f t="shared" ca="1" si="1"/>
        <v>-1</v>
      </c>
      <c r="AG4" s="32">
        <f t="shared" ca="1" si="1"/>
        <v>0</v>
      </c>
      <c r="AI4" s="38">
        <v>4</v>
      </c>
      <c r="AJ4" s="65" t="str" cm="1">
        <f t="array" aca="1" ref="AJ4" ca="1">_xlfn.TEXTJOIN("*",,TEXT(INDIRECT(_xlfn.TEXTJOIN(,,"W",TEXT(13+$AI4-$V$4,"0"),"K",TEXT(11+AJ$1-$V$3,"0")),FALSE),"0"),TEXT(INDIRECT(_xlfn.TEXTJOIN(,,"W",TEXT(13+$AI4-$V$7,"0"),"K",TEXT(11+AJ$1-$V$6,"0")),FALSE),"0"))</f>
        <v>0*0</v>
      </c>
      <c r="AK4" s="53" t="str" cm="1">
        <f t="array" aca="1" ref="AK4" ca="1">_xlfn.TEXTJOIN("*",,TEXT(INDIRECT(_xlfn.TEXTJOIN(,,"W",TEXT(13+$AI4-$V$4,"0"),"K",TEXT(11+AK$1-$V$3,"0")),FALSE),"0"),TEXT(INDIRECT(_xlfn.TEXTJOIN(,,"W",TEXT(13+$AI4-$V$7,"0"),"K",TEXT(11+AK$1-$V$6,"0")),FALSE),"0"))</f>
        <v>-1*-1</v>
      </c>
      <c r="AL4" s="53" t="str" cm="1">
        <f t="array" aca="1" ref="AL4" ca="1">_xlfn.TEXTJOIN("*",,TEXT(INDIRECT(_xlfn.TEXTJOIN(,,"W",TEXT(13+$AI4-$V$4,"0"),"K",TEXT(11+AL$1-$V$3,"0")),FALSE),"0"),TEXT(INDIRECT(_xlfn.TEXTJOIN(,,"W",TEXT(13+$AI4-$V$7,"0"),"K",TEXT(11+AL$1-$V$6,"0")),FALSE),"0"))</f>
        <v>1*0</v>
      </c>
      <c r="AM4" s="53" t="str" cm="1">
        <f t="array" aca="1" ref="AM4" ca="1">_xlfn.TEXTJOIN("*",,TEXT(INDIRECT(_xlfn.TEXTJOIN(,,"W",TEXT(13+$AI4-$V$4,"0"),"K",TEXT(11+AM$1-$V$3,"0")),FALSE),"0"),TEXT(INDIRECT(_xlfn.TEXTJOIN(,,"W",TEXT(13+$AI4-$V$7,"0"),"K",TEXT(11+AM$1-$V$6,"0")),FALSE),"0"))</f>
        <v>-1*-1</v>
      </c>
      <c r="AN4" s="53" t="str" cm="1">
        <f t="array" aca="1" ref="AN4" ca="1">_xlfn.TEXTJOIN("*",,TEXT(INDIRECT(_xlfn.TEXTJOIN(,,"W",TEXT(13+$AI4-$V$4,"0"),"K",TEXT(11+AN$1-$V$3,"0")),FALSE),"0"),TEXT(INDIRECT(_xlfn.TEXTJOIN(,,"W",TEXT(13+$AI4-$V$7,"0"),"K",TEXT(11+AN$1-$V$6,"0")),FALSE),"0"))</f>
        <v>2*0</v>
      </c>
      <c r="AO4" s="53" t="str" cm="1">
        <f t="array" aca="1" ref="AO4" ca="1">_xlfn.TEXTJOIN("*",,TEXT(INDIRECT(_xlfn.TEXTJOIN(,,"W",TEXT(13+$AI4-$V$4,"0"),"K",TEXT(11+AO$1-$V$3,"0")),FALSE),"0"),TEXT(INDIRECT(_xlfn.TEXTJOIN(,,"W",TEXT(13+$AI4-$V$7,"0"),"K",TEXT(11+AO$1-$V$6,"0")),FALSE),"0"))</f>
        <v>-1*-1</v>
      </c>
      <c r="AP4" s="53" t="str" cm="1">
        <f t="array" aca="1" ref="AP4" ca="1">_xlfn.TEXTJOIN("*",,TEXT(INDIRECT(_xlfn.TEXTJOIN(,,"W",TEXT(13+$AI4-$V$4,"0"),"K",TEXT(11+AP$1-$V$3,"0")),FALSE),"0"),TEXT(INDIRECT(_xlfn.TEXTJOIN(,,"W",TEXT(13+$AI4-$V$7,"0"),"K",TEXT(11+AP$1-$V$6,"0")),FALSE),"0"))</f>
        <v>1*0</v>
      </c>
      <c r="AQ4" s="53" t="str" cm="1">
        <f t="array" aca="1" ref="AQ4" ca="1">_xlfn.TEXTJOIN("*",,TEXT(INDIRECT(_xlfn.TEXTJOIN(,,"W",TEXT(13+$AI4-$V$4,"0"),"K",TEXT(11+AQ$1-$V$3,"0")),FALSE),"0"),TEXT(INDIRECT(_xlfn.TEXTJOIN(,,"W",TEXT(13+$AI4-$V$7,"0"),"K",TEXT(11+AQ$1-$V$6,"0")),FALSE),"0"))</f>
        <v>-1*-1</v>
      </c>
      <c r="AR4" s="66" t="str" cm="1">
        <f t="array" aca="1" ref="AR4" ca="1">_xlfn.TEXTJOIN("*",,TEXT(INDIRECT(_xlfn.TEXTJOIN(,,"W",TEXT(13+$AI4-$V$4,"0"),"K",TEXT(11+AR$1-$V$3,"0")),FALSE),"0"),TEXT(INDIRECT(_xlfn.TEXTJOIN(,,"W",TEXT(13+$AI4-$V$7,"0"),"K",TEXT(11+AR$1-$V$6,"0")),FALSE),"0"))</f>
        <v>0*0</v>
      </c>
    </row>
    <row r="5" spans="1:44" x14ac:dyDescent="0.25">
      <c r="A5" s="38">
        <v>8</v>
      </c>
      <c r="B5" s="46">
        <v>-1</v>
      </c>
      <c r="C5" s="47">
        <v>0</v>
      </c>
      <c r="D5" s="47">
        <v>-1</v>
      </c>
      <c r="E5" s="47">
        <v>0</v>
      </c>
      <c r="F5" s="47">
        <v>-1</v>
      </c>
      <c r="G5" s="47">
        <v>0</v>
      </c>
      <c r="H5" s="47">
        <v>-1</v>
      </c>
      <c r="I5" s="47">
        <v>0</v>
      </c>
      <c r="J5" s="47">
        <v>-1</v>
      </c>
      <c r="K5" s="47">
        <v>0</v>
      </c>
      <c r="L5" s="47">
        <v>-1</v>
      </c>
      <c r="M5" s="47">
        <v>0</v>
      </c>
      <c r="N5" s="47">
        <v>-1</v>
      </c>
      <c r="O5" s="47">
        <v>0</v>
      </c>
      <c r="P5" s="47">
        <v>-1</v>
      </c>
      <c r="Q5" s="47">
        <v>0</v>
      </c>
      <c r="R5" s="47">
        <v>-1</v>
      </c>
      <c r="S5" s="47">
        <v>0</v>
      </c>
      <c r="T5" s="48">
        <v>-1</v>
      </c>
      <c r="U5" s="54"/>
      <c r="V5" s="54"/>
      <c r="X5" s="31">
        <v>3</v>
      </c>
      <c r="Y5" s="31">
        <f t="shared" ca="1" si="0"/>
        <v>-1</v>
      </c>
      <c r="Z5" s="15">
        <f t="shared" ca="1" si="0"/>
        <v>0</v>
      </c>
      <c r="AA5" s="15">
        <f t="shared" ca="1" si="0"/>
        <v>-1</v>
      </c>
      <c r="AB5" s="15">
        <f t="shared" ca="1" si="0"/>
        <v>1</v>
      </c>
      <c r="AC5" s="15">
        <f t="shared" ca="1" si="1"/>
        <v>-1</v>
      </c>
      <c r="AD5" s="15">
        <f t="shared" ca="1" si="1"/>
        <v>1</v>
      </c>
      <c r="AE5" s="15">
        <f t="shared" ca="1" si="1"/>
        <v>-1</v>
      </c>
      <c r="AF5" s="15">
        <f t="shared" ca="1" si="1"/>
        <v>1</v>
      </c>
      <c r="AG5" s="32">
        <f t="shared" ca="1" si="1"/>
        <v>-1</v>
      </c>
      <c r="AI5" s="38">
        <v>3</v>
      </c>
      <c r="AJ5" s="65" t="str" cm="1">
        <f t="array" aca="1" ref="AJ5" ca="1">_xlfn.TEXTJOIN("*",,TEXT(INDIRECT(_xlfn.TEXTJOIN(,,"W",TEXT(13+$AI5-$V$4,"0"),"K",TEXT(11+AJ$1-$V$3,"0")),FALSE),"0"),TEXT(INDIRECT(_xlfn.TEXTJOIN(,,"W",TEXT(13+$AI5-$V$7,"0"),"K",TEXT(11+AJ$1-$V$6,"0")),FALSE),"0"))</f>
        <v>-1*-1</v>
      </c>
      <c r="AK5" s="53" t="str" cm="1">
        <f t="array" aca="1" ref="AK5" ca="1">_xlfn.TEXTJOIN("*",,TEXT(INDIRECT(_xlfn.TEXTJOIN(,,"W",TEXT(13+$AI5-$V$4,"0"),"K",TEXT(11+AK$1-$V$3,"0")),FALSE),"0"),TEXT(INDIRECT(_xlfn.TEXTJOIN(,,"W",TEXT(13+$AI5-$V$7,"0"),"K",TEXT(11+AK$1-$V$6,"0")),FALSE),"0"))</f>
        <v>1*0</v>
      </c>
      <c r="AL5" s="53" t="str" cm="1">
        <f t="array" aca="1" ref="AL5" ca="1">_xlfn.TEXTJOIN("*",,TEXT(INDIRECT(_xlfn.TEXTJOIN(,,"W",TEXT(13+$AI5-$V$4,"0"),"K",TEXT(11+AL$1-$V$3,"0")),FALSE),"0"),TEXT(INDIRECT(_xlfn.TEXTJOIN(,,"W",TEXT(13+$AI5-$V$7,"0"),"K",TEXT(11+AL$1-$V$6,"0")),FALSE),"0"))</f>
        <v>-1*-1</v>
      </c>
      <c r="AM5" s="53" t="str" cm="1">
        <f t="array" aca="1" ref="AM5" ca="1">_xlfn.TEXTJOIN("*",,TEXT(INDIRECT(_xlfn.TEXTJOIN(,,"W",TEXT(13+$AI5-$V$4,"0"),"K",TEXT(11+AM$1-$V$3,"0")),FALSE),"0"),TEXT(INDIRECT(_xlfn.TEXTJOIN(,,"W",TEXT(13+$AI5-$V$7,"0"),"K",TEXT(11+AM$1-$V$6,"0")),FALSE),"0"))</f>
        <v>2*1</v>
      </c>
      <c r="AN5" s="53" t="str" cm="1">
        <f t="array" aca="1" ref="AN5" ca="1">_xlfn.TEXTJOIN("*",,TEXT(INDIRECT(_xlfn.TEXTJOIN(,,"W",TEXT(13+$AI5-$V$4,"0"),"K",TEXT(11+AN$1-$V$3,"0")),FALSE),"0"),TEXT(INDIRECT(_xlfn.TEXTJOIN(,,"W",TEXT(13+$AI5-$V$7,"0"),"K",TEXT(11+AN$1-$V$6,"0")),FALSE),"0"))</f>
        <v>-1*-1</v>
      </c>
      <c r="AO5" s="53" t="str" cm="1">
        <f t="array" aca="1" ref="AO5" ca="1">_xlfn.TEXTJOIN("*",,TEXT(INDIRECT(_xlfn.TEXTJOIN(,,"W",TEXT(13+$AI5-$V$4,"0"),"K",TEXT(11+AO$1-$V$3,"0")),FALSE),"0"),TEXT(INDIRECT(_xlfn.TEXTJOIN(,,"W",TEXT(13+$AI5-$V$7,"0"),"K",TEXT(11+AO$1-$V$6,"0")),FALSE),"0"))</f>
        <v>2*1</v>
      </c>
      <c r="AP5" s="53" t="str" cm="1">
        <f t="array" aca="1" ref="AP5" ca="1">_xlfn.TEXTJOIN("*",,TEXT(INDIRECT(_xlfn.TEXTJOIN(,,"W",TEXT(13+$AI5-$V$4,"0"),"K",TEXT(11+AP$1-$V$3,"0")),FALSE),"0"),TEXT(INDIRECT(_xlfn.TEXTJOIN(,,"W",TEXT(13+$AI5-$V$7,"0"),"K",TEXT(11+AP$1-$V$6,"0")),FALSE),"0"))</f>
        <v>-1*-1</v>
      </c>
      <c r="AQ5" s="53" t="str" cm="1">
        <f t="array" aca="1" ref="AQ5" ca="1">_xlfn.TEXTJOIN("*",,TEXT(INDIRECT(_xlfn.TEXTJOIN(,,"W",TEXT(13+$AI5-$V$4,"0"),"K",TEXT(11+AQ$1-$V$3,"0")),FALSE),"0"),TEXT(INDIRECT(_xlfn.TEXTJOIN(,,"W",TEXT(13+$AI5-$V$7,"0"),"K",TEXT(11+AQ$1-$V$6,"0")),FALSE),"0"))</f>
        <v>1*1</v>
      </c>
      <c r="AR5" s="66" t="str" cm="1">
        <f t="array" aca="1" ref="AR5" ca="1">_xlfn.TEXTJOIN("*",,TEXT(INDIRECT(_xlfn.TEXTJOIN(,,"W",TEXT(13+$AI5-$V$4,"0"),"K",TEXT(11+AR$1-$V$3,"0")),FALSE),"0"),TEXT(INDIRECT(_xlfn.TEXTJOIN(,,"W",TEXT(13+$AI5-$V$7,"0"),"K",TEXT(11+AR$1-$V$6,"0")),FALSE),"0"))</f>
        <v>-1*-1</v>
      </c>
    </row>
    <row r="6" spans="1:44" x14ac:dyDescent="0.25">
      <c r="A6" s="38">
        <v>7</v>
      </c>
      <c r="B6" s="46">
        <v>0</v>
      </c>
      <c r="C6" s="47">
        <v>-1</v>
      </c>
      <c r="D6" s="47">
        <v>0</v>
      </c>
      <c r="E6" s="47">
        <v>-1</v>
      </c>
      <c r="F6" s="47">
        <v>0</v>
      </c>
      <c r="G6" s="47">
        <v>-1</v>
      </c>
      <c r="H6" s="47">
        <v>0</v>
      </c>
      <c r="I6" s="47">
        <v>-1</v>
      </c>
      <c r="J6" s="47">
        <v>0</v>
      </c>
      <c r="K6" s="47">
        <v>-1</v>
      </c>
      <c r="L6" s="47">
        <v>0</v>
      </c>
      <c r="M6" s="47">
        <v>-1</v>
      </c>
      <c r="N6" s="47">
        <v>0</v>
      </c>
      <c r="O6" s="47">
        <v>-1</v>
      </c>
      <c r="P6" s="47">
        <v>0</v>
      </c>
      <c r="Q6" s="47">
        <v>-1</v>
      </c>
      <c r="R6" s="47">
        <v>0</v>
      </c>
      <c r="S6" s="47">
        <v>-1</v>
      </c>
      <c r="T6" s="48">
        <v>0</v>
      </c>
      <c r="U6" s="58" t="s">
        <v>13</v>
      </c>
      <c r="V6" s="59">
        <v>1</v>
      </c>
      <c r="X6" s="31">
        <v>2</v>
      </c>
      <c r="Y6" s="31">
        <f t="shared" ca="1" si="0"/>
        <v>0</v>
      </c>
      <c r="Z6" s="15">
        <f t="shared" ca="1" si="0"/>
        <v>-1</v>
      </c>
      <c r="AA6" s="15">
        <f t="shared" ca="1" si="0"/>
        <v>0</v>
      </c>
      <c r="AB6" s="15">
        <f t="shared" ca="1" si="0"/>
        <v>-1</v>
      </c>
      <c r="AC6" s="15">
        <f t="shared" ca="1" si="1"/>
        <v>1</v>
      </c>
      <c r="AD6" s="15">
        <f t="shared" ca="1" si="1"/>
        <v>-1</v>
      </c>
      <c r="AE6" s="15">
        <f t="shared" ca="1" si="1"/>
        <v>1</v>
      </c>
      <c r="AF6" s="15">
        <f t="shared" ca="1" si="1"/>
        <v>-1</v>
      </c>
      <c r="AG6" s="32">
        <f t="shared" ca="1" si="1"/>
        <v>0</v>
      </c>
      <c r="AI6" s="38">
        <v>2</v>
      </c>
      <c r="AJ6" s="65" t="str" cm="1">
        <f t="array" aca="1" ref="AJ6" ca="1">_xlfn.TEXTJOIN("*",,TEXT(INDIRECT(_xlfn.TEXTJOIN(,,"W",TEXT(13+$AI6-$V$4,"0"),"K",TEXT(11+AJ$1-$V$3,"0")),FALSE),"0"),TEXT(INDIRECT(_xlfn.TEXTJOIN(,,"W",TEXT(13+$AI6-$V$7,"0"),"K",TEXT(11+AJ$1-$V$6,"0")),FALSE),"0"))</f>
        <v>0*0</v>
      </c>
      <c r="AK6" s="53" t="str" cm="1">
        <f t="array" aca="1" ref="AK6" ca="1">_xlfn.TEXTJOIN("*",,TEXT(INDIRECT(_xlfn.TEXTJOIN(,,"W",TEXT(13+$AI6-$V$4,"0"),"K",TEXT(11+AK$1-$V$3,"0")),FALSE),"0"),TEXT(INDIRECT(_xlfn.TEXTJOIN(,,"W",TEXT(13+$AI6-$V$7,"0"),"K",TEXT(11+AK$1-$V$6,"0")),FALSE),"0"))</f>
        <v>-1*-1</v>
      </c>
      <c r="AL6" s="53" t="str" cm="1">
        <f t="array" aca="1" ref="AL6" ca="1">_xlfn.TEXTJOIN("*",,TEXT(INDIRECT(_xlfn.TEXTJOIN(,,"W",TEXT(13+$AI6-$V$4,"0"),"K",TEXT(11+AL$1-$V$3,"0")),FALSE),"0"),TEXT(INDIRECT(_xlfn.TEXTJOIN(,,"W",TEXT(13+$AI6-$V$7,"0"),"K",TEXT(11+AL$1-$V$6,"0")),FALSE),"0"))</f>
        <v>2*0</v>
      </c>
      <c r="AM6" s="53" t="str" cm="1">
        <f t="array" aca="1" ref="AM6" ca="1">_xlfn.TEXTJOIN("*",,TEXT(INDIRECT(_xlfn.TEXTJOIN(,,"W",TEXT(13+$AI6-$V$4,"0"),"K",TEXT(11+AM$1-$V$3,"0")),FALSE),"0"),TEXT(INDIRECT(_xlfn.TEXTJOIN(,,"W",TEXT(13+$AI6-$V$7,"0"),"K",TEXT(11+AM$1-$V$6,"0")),FALSE),"0"))</f>
        <v>-1*-1</v>
      </c>
      <c r="AN6" s="53" t="str" cm="1">
        <f t="array" aca="1" ref="AN6" ca="1">_xlfn.TEXTJOIN("*",,TEXT(INDIRECT(_xlfn.TEXTJOIN(,,"W",TEXT(13+$AI6-$V$4,"0"),"K",TEXT(11+AN$1-$V$3,"0")),FALSE),"0"),TEXT(INDIRECT(_xlfn.TEXTJOIN(,,"W",TEXT(13+$AI6-$V$7,"0"),"K",TEXT(11+AN$1-$V$6,"0")),FALSE),"0"))</f>
        <v>2*1</v>
      </c>
      <c r="AO6" s="53" t="str" cm="1">
        <f t="array" aca="1" ref="AO6" ca="1">_xlfn.TEXTJOIN("*",,TEXT(INDIRECT(_xlfn.TEXTJOIN(,,"W",TEXT(13+$AI6-$V$4,"0"),"K",TEXT(11+AO$1-$V$3,"0")),FALSE),"0"),TEXT(INDIRECT(_xlfn.TEXTJOIN(,,"W",TEXT(13+$AI6-$V$7,"0"),"K",TEXT(11+AO$1-$V$6,"0")),FALSE),"0"))</f>
        <v>-1*-1</v>
      </c>
      <c r="AP6" s="53" t="str" cm="1">
        <f t="array" aca="1" ref="AP6" ca="1">_xlfn.TEXTJOIN("*",,TEXT(INDIRECT(_xlfn.TEXTJOIN(,,"W",TEXT(13+$AI6-$V$4,"0"),"K",TEXT(11+AP$1-$V$3,"0")),FALSE),"0"),TEXT(INDIRECT(_xlfn.TEXTJOIN(,,"W",TEXT(13+$AI6-$V$7,"0"),"K",TEXT(11+AP$1-$V$6,"0")),FALSE),"0"))</f>
        <v>2*1</v>
      </c>
      <c r="AQ6" s="53" t="str" cm="1">
        <f t="array" aca="1" ref="AQ6" ca="1">_xlfn.TEXTJOIN("*",,TEXT(INDIRECT(_xlfn.TEXTJOIN(,,"W",TEXT(13+$AI6-$V$4,"0"),"K",TEXT(11+AQ$1-$V$3,"0")),FALSE),"0"),TEXT(INDIRECT(_xlfn.TEXTJOIN(,,"W",TEXT(13+$AI6-$V$7,"0"),"K",TEXT(11+AQ$1-$V$6,"0")),FALSE),"0"))</f>
        <v>-1*-1</v>
      </c>
      <c r="AR6" s="66" t="str" cm="1">
        <f t="array" aca="1" ref="AR6" ca="1">_xlfn.TEXTJOIN("*",,TEXT(INDIRECT(_xlfn.TEXTJOIN(,,"W",TEXT(13+$AI6-$V$4,"0"),"K",TEXT(11+AR$1-$V$3,"0")),FALSE),"0"),TEXT(INDIRECT(_xlfn.TEXTJOIN(,,"W",TEXT(13+$AI6-$V$7,"0"),"K",TEXT(11+AR$1-$V$6,"0")),FALSE),"0"))</f>
        <v>0*0</v>
      </c>
    </row>
    <row r="7" spans="1:44" ht="15.75" thickBot="1" x14ac:dyDescent="0.3">
      <c r="A7" s="38">
        <v>6</v>
      </c>
      <c r="B7" s="46">
        <v>-1</v>
      </c>
      <c r="C7" s="47">
        <v>0</v>
      </c>
      <c r="D7" s="47">
        <v>-1</v>
      </c>
      <c r="E7" s="47">
        <v>0</v>
      </c>
      <c r="F7" s="47">
        <v>-1</v>
      </c>
      <c r="G7" s="47">
        <v>0</v>
      </c>
      <c r="H7" s="47">
        <v>-1</v>
      </c>
      <c r="I7" s="47">
        <v>1</v>
      </c>
      <c r="J7" s="47">
        <v>-1</v>
      </c>
      <c r="K7" s="47">
        <v>1</v>
      </c>
      <c r="L7" s="47">
        <v>-1</v>
      </c>
      <c r="M7" s="47">
        <v>1</v>
      </c>
      <c r="N7" s="47">
        <v>-1</v>
      </c>
      <c r="O7" s="47">
        <v>0</v>
      </c>
      <c r="P7" s="47">
        <v>-1</v>
      </c>
      <c r="Q7" s="47">
        <v>0</v>
      </c>
      <c r="R7" s="47">
        <v>-1</v>
      </c>
      <c r="S7" s="47">
        <v>0</v>
      </c>
      <c r="T7" s="48">
        <v>-1</v>
      </c>
      <c r="U7" s="60" t="s">
        <v>14</v>
      </c>
      <c r="V7" s="59">
        <v>-3</v>
      </c>
      <c r="X7" s="31">
        <v>1</v>
      </c>
      <c r="Y7" s="31">
        <f t="shared" ca="1" si="0"/>
        <v>-1</v>
      </c>
      <c r="Z7" s="15">
        <f t="shared" ca="1" si="0"/>
        <v>0</v>
      </c>
      <c r="AA7" s="15">
        <f t="shared" ca="1" si="0"/>
        <v>-1</v>
      </c>
      <c r="AB7" s="15">
        <f t="shared" ca="1" si="0"/>
        <v>1</v>
      </c>
      <c r="AC7" s="15">
        <f t="shared" ca="1" si="1"/>
        <v>-1</v>
      </c>
      <c r="AD7" s="15">
        <f t="shared" ca="1" si="1"/>
        <v>2</v>
      </c>
      <c r="AE7" s="15">
        <f t="shared" ca="1" si="1"/>
        <v>-1</v>
      </c>
      <c r="AF7" s="15">
        <f t="shared" ca="1" si="1"/>
        <v>1</v>
      </c>
      <c r="AG7" s="32">
        <f t="shared" ca="1" si="1"/>
        <v>-1</v>
      </c>
      <c r="AI7" s="38">
        <v>1</v>
      </c>
      <c r="AJ7" s="65" t="str" cm="1">
        <f t="array" aca="1" ref="AJ7" ca="1">_xlfn.TEXTJOIN("*",,TEXT(INDIRECT(_xlfn.TEXTJOIN(,,"W",TEXT(13+$AI7-$V$4,"0"),"K",TEXT(11+AJ$1-$V$3,"0")),FALSE),"0"),TEXT(INDIRECT(_xlfn.TEXTJOIN(,,"W",TEXT(13+$AI7-$V$7,"0"),"K",TEXT(11+AJ$1-$V$6,"0")),FALSE),"0"))</f>
        <v>-1*-1</v>
      </c>
      <c r="AK7" s="53" t="str" cm="1">
        <f t="array" aca="1" ref="AK7" ca="1">_xlfn.TEXTJOIN("*",,TEXT(INDIRECT(_xlfn.TEXTJOIN(,,"W",TEXT(13+$AI7-$V$4,"0"),"K",TEXT(11+AK$1-$V$3,"0")),FALSE),"0"),TEXT(INDIRECT(_xlfn.TEXTJOIN(,,"W",TEXT(13+$AI7-$V$7,"0"),"K",TEXT(11+AK$1-$V$6,"0")),FALSE),"0"))</f>
        <v>1*0</v>
      </c>
      <c r="AL7" s="53" t="str" cm="1">
        <f t="array" aca="1" ref="AL7" ca="1">_xlfn.TEXTJOIN("*",,TEXT(INDIRECT(_xlfn.TEXTJOIN(,,"W",TEXT(13+$AI7-$V$4,"0"),"K",TEXT(11+AL$1-$V$3,"0")),FALSE),"0"),TEXT(INDIRECT(_xlfn.TEXTJOIN(,,"W",TEXT(13+$AI7-$V$7,"0"),"K",TEXT(11+AL$1-$V$6,"0")),FALSE),"0"))</f>
        <v>-1*-1</v>
      </c>
      <c r="AM7" s="53" t="str" cm="1">
        <f t="array" aca="1" ref="AM7" ca="1">_xlfn.TEXTJOIN("*",,TEXT(INDIRECT(_xlfn.TEXTJOIN(,,"W",TEXT(13+$AI7-$V$4,"0"),"K",TEXT(11+AM$1-$V$3,"0")),FALSE),"0"),TEXT(INDIRECT(_xlfn.TEXTJOIN(,,"W",TEXT(13+$AI7-$V$7,"0"),"K",TEXT(11+AM$1-$V$6,"0")),FALSE),"0"))</f>
        <v>2*1</v>
      </c>
      <c r="AN7" s="53" t="str" cm="1">
        <f t="array" aca="1" ref="AN7" ca="1">_xlfn.TEXTJOIN("*",,TEXT(INDIRECT(_xlfn.TEXTJOIN(,,"W",TEXT(13+$AI7-$V$4,"0"),"K",TEXT(11+AN$1-$V$3,"0")),FALSE),"0"),TEXT(INDIRECT(_xlfn.TEXTJOIN(,,"W",TEXT(13+$AI7-$V$7,"0"),"K",TEXT(11+AN$1-$V$6,"0")),FALSE),"0"))</f>
        <v>-1*-1</v>
      </c>
      <c r="AO7" s="53" t="str" cm="1">
        <f t="array" aca="1" ref="AO7" ca="1">_xlfn.TEXTJOIN("*",,TEXT(INDIRECT(_xlfn.TEXTJOIN(,,"W",TEXT(13+$AI7-$V$4,"0"),"K",TEXT(11+AO$1-$V$3,"0")),FALSE),"0"),TEXT(INDIRECT(_xlfn.TEXTJOIN(,,"W",TEXT(13+$AI7-$V$7,"0"),"K",TEXT(11+AO$1-$V$6,"0")),FALSE),"0"))</f>
        <v>2*2</v>
      </c>
      <c r="AP7" s="53" t="str" cm="1">
        <f t="array" aca="1" ref="AP7" ca="1">_xlfn.TEXTJOIN("*",,TEXT(INDIRECT(_xlfn.TEXTJOIN(,,"W",TEXT(13+$AI7-$V$4,"0"),"K",TEXT(11+AP$1-$V$3,"0")),FALSE),"0"),TEXT(INDIRECT(_xlfn.TEXTJOIN(,,"W",TEXT(13+$AI7-$V$7,"0"),"K",TEXT(11+AP$1-$V$6,"0")),FALSE),"0"))</f>
        <v>-1*-1</v>
      </c>
      <c r="AQ7" s="53" t="str" cm="1">
        <f t="array" aca="1" ref="AQ7" ca="1">_xlfn.TEXTJOIN("*",,TEXT(INDIRECT(_xlfn.TEXTJOIN(,,"W",TEXT(13+$AI7-$V$4,"0"),"K",TEXT(11+AQ$1-$V$3,"0")),FALSE),"0"),TEXT(INDIRECT(_xlfn.TEXTJOIN(,,"W",TEXT(13+$AI7-$V$7,"0"),"K",TEXT(11+AQ$1-$V$6,"0")),FALSE),"0"))</f>
        <v>1*1</v>
      </c>
      <c r="AR7" s="66" t="str" cm="1">
        <f t="array" aca="1" ref="AR7" ca="1">_xlfn.TEXTJOIN("*",,TEXT(INDIRECT(_xlfn.TEXTJOIN(,,"W",TEXT(13+$AI7-$V$4,"0"),"K",TEXT(11+AR$1-$V$3,"0")),FALSE),"0"),TEXT(INDIRECT(_xlfn.TEXTJOIN(,,"W",TEXT(13+$AI7-$V$7,"0"),"K",TEXT(11+AR$1-$V$6,"0")),FALSE),"0"))</f>
        <v>-1*-1</v>
      </c>
    </row>
    <row r="8" spans="1:44" ht="15.75" thickBot="1" x14ac:dyDescent="0.3">
      <c r="A8" s="38">
        <v>5</v>
      </c>
      <c r="B8" s="46">
        <v>0</v>
      </c>
      <c r="C8" s="47">
        <v>-1</v>
      </c>
      <c r="D8" s="47">
        <v>0</v>
      </c>
      <c r="E8" s="47">
        <v>-1</v>
      </c>
      <c r="F8" s="47">
        <v>0</v>
      </c>
      <c r="G8" s="47">
        <v>-1</v>
      </c>
      <c r="H8" s="47">
        <v>0</v>
      </c>
      <c r="I8" s="47">
        <v>-1</v>
      </c>
      <c r="J8" s="47">
        <v>1</v>
      </c>
      <c r="K8" s="47">
        <v>-1</v>
      </c>
      <c r="L8" s="47">
        <v>1</v>
      </c>
      <c r="M8" s="47">
        <v>-1</v>
      </c>
      <c r="N8" s="47">
        <v>0</v>
      </c>
      <c r="O8" s="47">
        <v>-1</v>
      </c>
      <c r="P8" s="47">
        <v>0</v>
      </c>
      <c r="Q8" s="47">
        <v>-1</v>
      </c>
      <c r="R8" s="47">
        <v>0</v>
      </c>
      <c r="S8" s="47">
        <v>-1</v>
      </c>
      <c r="T8" s="48">
        <v>0</v>
      </c>
      <c r="X8" s="31">
        <v>0</v>
      </c>
      <c r="Y8" s="31">
        <f t="shared" ca="1" si="0"/>
        <v>0</v>
      </c>
      <c r="Z8" s="15">
        <f t="shared" ca="1" si="0"/>
        <v>-1</v>
      </c>
      <c r="AA8" s="15">
        <f t="shared" ca="1" si="0"/>
        <v>1</v>
      </c>
      <c r="AB8" s="15">
        <f t="shared" ca="1" si="0"/>
        <v>-1</v>
      </c>
      <c r="AC8" s="36">
        <f ca="1">MIN(INDIRECT(_xlfn.TEXTJOIN(,,"W",TEXT(13+$X8-$V$4,"0"),"K",TEXT(11+AC$1-$V$3,"0")),FALSE),INDIRECT(_xlfn.TEXTJOIN(,,"W",TEXT(13+$X8-$V$7,"0"),"K",TEXT(11+AC$1-$V$6,"0")),FALSE))</f>
        <v>2</v>
      </c>
      <c r="AD8" s="15">
        <f t="shared" ref="AD8:AG8" ca="1" si="2">MIN(INDIRECT(_xlfn.TEXTJOIN(,,"W",TEXT(13+$X8-$V$4,"0"),"K",TEXT(11+AD$1-$V$3,"0")),FALSE),INDIRECT(_xlfn.TEXTJOIN(,,"W",TEXT(13+$X8-$V$7,"0"),"K",TEXT(11+AD$1-$V$6,"0")),FALSE))</f>
        <v>-1</v>
      </c>
      <c r="AE8" s="15">
        <f t="shared" ca="1" si="2"/>
        <v>2</v>
      </c>
      <c r="AF8" s="15">
        <f t="shared" ca="1" si="2"/>
        <v>-1</v>
      </c>
      <c r="AG8" s="32">
        <f t="shared" ca="1" si="2"/>
        <v>1</v>
      </c>
      <c r="AI8" s="38">
        <v>0</v>
      </c>
      <c r="AJ8" s="65" t="str" cm="1">
        <f t="array" aca="1" ref="AJ8" ca="1">_xlfn.TEXTJOIN("*",,TEXT(INDIRECT(_xlfn.TEXTJOIN(,,"W",TEXT(13+$AI8-$V$4,"0"),"K",TEXT(11+AJ$1-$V$3,"0")),FALSE),"0"),TEXT(INDIRECT(_xlfn.TEXTJOIN(,,"W",TEXT(13+$AI8-$V$7,"0"),"K",TEXT(11+AJ$1-$V$6,"0")),FALSE),"0"))</f>
        <v>1*0</v>
      </c>
      <c r="AK8" s="53" t="str" cm="1">
        <f t="array" aca="1" ref="AK8" ca="1">_xlfn.TEXTJOIN("*",,TEXT(INDIRECT(_xlfn.TEXTJOIN(,,"W",TEXT(13+$AI8-$V$4,"0"),"K",TEXT(11+AK$1-$V$3,"0")),FALSE),"0"),TEXT(INDIRECT(_xlfn.TEXTJOIN(,,"W",TEXT(13+$AI8-$V$7,"0"),"K",TEXT(11+AK$1-$V$6,"0")),FALSE),"0"))</f>
        <v>-1*-1</v>
      </c>
      <c r="AL8" s="53" t="str" cm="1">
        <f t="array" aca="1" ref="AL8" ca="1">_xlfn.TEXTJOIN("*",,TEXT(INDIRECT(_xlfn.TEXTJOIN(,,"W",TEXT(13+$AI8-$V$4,"0"),"K",TEXT(11+AL$1-$V$3,"0")),FALSE),"0"),TEXT(INDIRECT(_xlfn.TEXTJOIN(,,"W",TEXT(13+$AI8-$V$7,"0"),"K",TEXT(11+AL$1-$V$6,"0")),FALSE),"0"))</f>
        <v>2*1</v>
      </c>
      <c r="AM8" s="53" t="str" cm="1">
        <f t="array" aca="1" ref="AM8" ca="1">_xlfn.TEXTJOIN("*",,TEXT(INDIRECT(_xlfn.TEXTJOIN(,,"W",TEXT(13+$AI8-$V$4,"0"),"K",TEXT(11+AM$1-$V$3,"0")),FALSE),"0"),TEXT(INDIRECT(_xlfn.TEXTJOIN(,,"W",TEXT(13+$AI8-$V$7,"0"),"K",TEXT(11+AM$1-$V$6,"0")),FALSE),"0"))</f>
        <v>-1*-1</v>
      </c>
      <c r="AN8" s="70" t="str" cm="1">
        <f t="array" aca="1" ref="AN8" ca="1">_xlfn.TEXTJOIN("*",,TEXT(INDIRECT(_xlfn.TEXTJOIN(,,"W",TEXT(13+$AI8-$V$4,"0"),"K",TEXT(11+AN$1-$V$3,"0")),FALSE),"0"),TEXT(INDIRECT(_xlfn.TEXTJOIN(,,"W",TEXT(13+$AI8-$V$7,"0"),"K",TEXT(11+AN$1-$V$6,"0")),FALSE),"0"))</f>
        <v>2*2</v>
      </c>
      <c r="AO8" s="53" t="str" cm="1">
        <f t="array" aca="1" ref="AO8" ca="1">_xlfn.TEXTJOIN("*",,TEXT(INDIRECT(_xlfn.TEXTJOIN(,,"W",TEXT(13+$AI8-$V$4,"0"),"K",TEXT(11+AO$1-$V$3,"0")),FALSE),"0"),TEXT(INDIRECT(_xlfn.TEXTJOIN(,,"W",TEXT(13+$AI8-$V$7,"0"),"K",TEXT(11+AO$1-$V$6,"0")),FALSE),"0"))</f>
        <v>-1*-1</v>
      </c>
      <c r="AP8" s="53" t="str" cm="1">
        <f t="array" aca="1" ref="AP8" ca="1">_xlfn.TEXTJOIN("*",,TEXT(INDIRECT(_xlfn.TEXTJOIN(,,"W",TEXT(13+$AI8-$V$4,"0"),"K",TEXT(11+AP$1-$V$3,"0")),FALSE),"0"),TEXT(INDIRECT(_xlfn.TEXTJOIN(,,"W",TEXT(13+$AI8-$V$7,"0"),"K",TEXT(11+AP$1-$V$6,"0")),FALSE),"0"))</f>
        <v>2*2</v>
      </c>
      <c r="AQ8" s="53" t="str" cm="1">
        <f t="array" aca="1" ref="AQ8" ca="1">_xlfn.TEXTJOIN("*",,TEXT(INDIRECT(_xlfn.TEXTJOIN(,,"W",TEXT(13+$AI8-$V$4,"0"),"K",TEXT(11+AQ$1-$V$3,"0")),FALSE),"0"),TEXT(INDIRECT(_xlfn.TEXTJOIN(,,"W",TEXT(13+$AI8-$V$7,"0"),"K",TEXT(11+AQ$1-$V$6,"0")),FALSE),"0"))</f>
        <v>-1*-1</v>
      </c>
      <c r="AR8" s="66" t="str" cm="1">
        <f t="array" aca="1" ref="AR8" ca="1">_xlfn.TEXTJOIN("*",,TEXT(INDIRECT(_xlfn.TEXTJOIN(,,"W",TEXT(13+$AI8-$V$4,"0"),"K",TEXT(11+AR$1-$V$3,"0")),FALSE),"0"),TEXT(INDIRECT(_xlfn.TEXTJOIN(,,"W",TEXT(13+$AI8-$V$7,"0"),"K",TEXT(11+AR$1-$V$6,"0")),FALSE),"0"))</f>
        <v>1*1</v>
      </c>
    </row>
    <row r="9" spans="1:44" x14ac:dyDescent="0.25">
      <c r="A9" s="38">
        <v>4</v>
      </c>
      <c r="B9" s="46">
        <v>-1</v>
      </c>
      <c r="C9" s="47">
        <v>0</v>
      </c>
      <c r="D9" s="47">
        <v>-1</v>
      </c>
      <c r="E9" s="47">
        <v>0</v>
      </c>
      <c r="F9" s="47">
        <v>-1</v>
      </c>
      <c r="G9" s="47">
        <v>0</v>
      </c>
      <c r="H9" s="47">
        <v>-1</v>
      </c>
      <c r="I9" s="47">
        <v>1</v>
      </c>
      <c r="J9" s="47">
        <v>-1</v>
      </c>
      <c r="K9" s="47">
        <v>2</v>
      </c>
      <c r="L9" s="47">
        <v>-1</v>
      </c>
      <c r="M9" s="47">
        <v>1</v>
      </c>
      <c r="N9" s="47">
        <v>-1</v>
      </c>
      <c r="O9" s="47">
        <v>0</v>
      </c>
      <c r="P9" s="47">
        <v>-1</v>
      </c>
      <c r="Q9" s="47">
        <v>0</v>
      </c>
      <c r="R9" s="47">
        <v>-1</v>
      </c>
      <c r="S9" s="47">
        <v>0</v>
      </c>
      <c r="T9" s="48">
        <v>-1</v>
      </c>
      <c r="X9" s="31">
        <v>-1</v>
      </c>
      <c r="Y9" s="31">
        <f t="shared" ca="1" si="0"/>
        <v>-1</v>
      </c>
      <c r="Z9" s="15">
        <f t="shared" ca="1" si="0"/>
        <v>0</v>
      </c>
      <c r="AA9" s="15">
        <f t="shared" ca="1" si="0"/>
        <v>-1</v>
      </c>
      <c r="AB9" s="15">
        <f t="shared" ca="1" si="0"/>
        <v>2</v>
      </c>
      <c r="AC9" s="15">
        <f t="shared" ref="AC9:AG14" ca="1" si="3">MIN(INDIRECT(_xlfn.TEXTJOIN(,,"W",TEXT(13+$X9-$V$4,"0"),"K",TEXT(11+AC$1-$V$3,"0")),FALSE),INDIRECT(_xlfn.TEXTJOIN(,,"W",TEXT(13+$X9-$V$7,"0"),"K",TEXT(11+AC$1-$V$6,"0")),FALSE))</f>
        <v>-1</v>
      </c>
      <c r="AD9" s="15">
        <f t="shared" ca="1" si="3"/>
        <v>2</v>
      </c>
      <c r="AE9" s="15">
        <f t="shared" ca="1" si="3"/>
        <v>-1</v>
      </c>
      <c r="AF9" s="15">
        <f t="shared" ca="1" si="3"/>
        <v>1</v>
      </c>
      <c r="AG9" s="32">
        <f t="shared" ca="1" si="3"/>
        <v>-1</v>
      </c>
      <c r="AI9" s="38">
        <v>-1</v>
      </c>
      <c r="AJ9" s="65" t="str" cm="1">
        <f t="array" aca="1" ref="AJ9" ca="1">_xlfn.TEXTJOIN("*",,TEXT(INDIRECT(_xlfn.TEXTJOIN(,,"W",TEXT(13+$AI9-$V$4,"0"),"K",TEXT(11+AJ$1-$V$3,"0")),FALSE),"0"),TEXT(INDIRECT(_xlfn.TEXTJOIN(,,"W",TEXT(13+$AI9-$V$7,"0"),"K",TEXT(11+AJ$1-$V$6,"0")),FALSE),"0"))</f>
        <v>-1*-1</v>
      </c>
      <c r="AK9" s="53" t="str" cm="1">
        <f t="array" aca="1" ref="AK9" ca="1">_xlfn.TEXTJOIN("*",,TEXT(INDIRECT(_xlfn.TEXTJOIN(,,"W",TEXT(13+$AI9-$V$4,"0"),"K",TEXT(11+AK$1-$V$3,"0")),FALSE),"0"),TEXT(INDIRECT(_xlfn.TEXTJOIN(,,"W",TEXT(13+$AI9-$V$7,"0"),"K",TEXT(11+AK$1-$V$6,"0")),FALSE),"0"))</f>
        <v>1*0</v>
      </c>
      <c r="AL9" s="53" t="str" cm="1">
        <f t="array" aca="1" ref="AL9" ca="1">_xlfn.TEXTJOIN("*",,TEXT(INDIRECT(_xlfn.TEXTJOIN(,,"W",TEXT(13+$AI9-$V$4,"0"),"K",TEXT(11+AL$1-$V$3,"0")),FALSE),"0"),TEXT(INDIRECT(_xlfn.TEXTJOIN(,,"W",TEXT(13+$AI9-$V$7,"0"),"K",TEXT(11+AL$1-$V$6,"0")),FALSE),"0"))</f>
        <v>-1*-1</v>
      </c>
      <c r="AM9" s="53" t="str" cm="1">
        <f t="array" aca="1" ref="AM9" ca="1">_xlfn.TEXTJOIN("*",,TEXT(INDIRECT(_xlfn.TEXTJOIN(,,"W",TEXT(13+$AI9-$V$4,"0"),"K",TEXT(11+AM$1-$V$3,"0")),FALSE),"0"),TEXT(INDIRECT(_xlfn.TEXTJOIN(,,"W",TEXT(13+$AI9-$V$7,"0"),"K",TEXT(11+AM$1-$V$6,"0")),FALSE),"0"))</f>
        <v>2*2</v>
      </c>
      <c r="AN9" s="53" t="str" cm="1">
        <f t="array" aca="1" ref="AN9" ca="1">_xlfn.TEXTJOIN("*",,TEXT(INDIRECT(_xlfn.TEXTJOIN(,,"W",TEXT(13+$AI9-$V$4,"0"),"K",TEXT(11+AN$1-$V$3,"0")),FALSE),"0"),TEXT(INDIRECT(_xlfn.TEXTJOIN(,,"W",TEXT(13+$AI9-$V$7,"0"),"K",TEXT(11+AN$1-$V$6,"0")),FALSE),"0"))</f>
        <v>-1*-1</v>
      </c>
      <c r="AO9" s="53" t="str" cm="1">
        <f t="array" aca="1" ref="AO9" ca="1">_xlfn.TEXTJOIN("*",,TEXT(INDIRECT(_xlfn.TEXTJOIN(,,"W",TEXT(13+$AI9-$V$4,"0"),"K",TEXT(11+AO$1-$V$3,"0")),FALSE),"0"),TEXT(INDIRECT(_xlfn.TEXTJOIN(,,"W",TEXT(13+$AI9-$V$7,"0"),"K",TEXT(11+AO$1-$V$6,"0")),FALSE),"0"))</f>
        <v>2*2</v>
      </c>
      <c r="AP9" s="53" t="str" cm="1">
        <f t="array" aca="1" ref="AP9" ca="1">_xlfn.TEXTJOIN("*",,TEXT(INDIRECT(_xlfn.TEXTJOIN(,,"W",TEXT(13+$AI9-$V$4,"0"),"K",TEXT(11+AP$1-$V$3,"0")),FALSE),"0"),TEXT(INDIRECT(_xlfn.TEXTJOIN(,,"W",TEXT(13+$AI9-$V$7,"0"),"K",TEXT(11+AP$1-$V$6,"0")),FALSE),"0"))</f>
        <v>-1*-1</v>
      </c>
      <c r="AQ9" s="53" t="str" cm="1">
        <f t="array" aca="1" ref="AQ9" ca="1">_xlfn.TEXTJOIN("*",,TEXT(INDIRECT(_xlfn.TEXTJOIN(,,"W",TEXT(13+$AI9-$V$4,"0"),"K",TEXT(11+AQ$1-$V$3,"0")),FALSE),"0"),TEXT(INDIRECT(_xlfn.TEXTJOIN(,,"W",TEXT(13+$AI9-$V$7,"0"),"K",TEXT(11+AQ$1-$V$6,"0")),FALSE),"0"))</f>
        <v>1*2</v>
      </c>
      <c r="AR9" s="66" t="str" cm="1">
        <f t="array" aca="1" ref="AR9" ca="1">_xlfn.TEXTJOIN("*",,TEXT(INDIRECT(_xlfn.TEXTJOIN(,,"W",TEXT(13+$AI9-$V$4,"0"),"K",TEXT(11+AR$1-$V$3,"0")),FALSE),"0"),TEXT(INDIRECT(_xlfn.TEXTJOIN(,,"W",TEXT(13+$AI9-$V$7,"0"),"K",TEXT(11+AR$1-$V$6,"0")),FALSE),"0"))</f>
        <v>-1*-1</v>
      </c>
    </row>
    <row r="10" spans="1:44" x14ac:dyDescent="0.25">
      <c r="A10" s="38">
        <v>3</v>
      </c>
      <c r="B10" s="46">
        <v>0</v>
      </c>
      <c r="C10" s="47">
        <v>-1</v>
      </c>
      <c r="D10" s="47">
        <v>0</v>
      </c>
      <c r="E10" s="47">
        <v>-1</v>
      </c>
      <c r="F10" s="47">
        <v>0</v>
      </c>
      <c r="G10" s="47">
        <v>-1</v>
      </c>
      <c r="H10" s="47">
        <v>1</v>
      </c>
      <c r="I10" s="47">
        <v>-1</v>
      </c>
      <c r="J10" s="47">
        <v>2</v>
      </c>
      <c r="K10" s="47">
        <v>-1</v>
      </c>
      <c r="L10" s="47">
        <v>2</v>
      </c>
      <c r="M10" s="47">
        <v>-1</v>
      </c>
      <c r="N10" s="47">
        <v>1</v>
      </c>
      <c r="O10" s="47">
        <v>-1</v>
      </c>
      <c r="P10" s="47">
        <v>0</v>
      </c>
      <c r="Q10" s="47">
        <v>-1</v>
      </c>
      <c r="R10" s="47">
        <v>0</v>
      </c>
      <c r="S10" s="47">
        <v>-1</v>
      </c>
      <c r="T10" s="48">
        <v>0</v>
      </c>
      <c r="X10" s="31">
        <v>-2</v>
      </c>
      <c r="Y10" s="31">
        <f t="shared" ca="1" si="0"/>
        <v>0</v>
      </c>
      <c r="Z10" s="15">
        <f t="shared" ca="1" si="0"/>
        <v>-1</v>
      </c>
      <c r="AA10" s="15">
        <f t="shared" ca="1" si="0"/>
        <v>1</v>
      </c>
      <c r="AB10" s="15">
        <f t="shared" ca="1" si="0"/>
        <v>-1</v>
      </c>
      <c r="AC10" s="15">
        <f t="shared" ca="1" si="3"/>
        <v>2</v>
      </c>
      <c r="AD10" s="15">
        <f t="shared" ca="1" si="3"/>
        <v>-1</v>
      </c>
      <c r="AE10" s="15">
        <f t="shared" ca="1" si="3"/>
        <v>2</v>
      </c>
      <c r="AF10" s="15">
        <f t="shared" ca="1" si="3"/>
        <v>-1</v>
      </c>
      <c r="AG10" s="32">
        <f t="shared" ca="1" si="3"/>
        <v>0</v>
      </c>
      <c r="AI10" s="38">
        <v>-2</v>
      </c>
      <c r="AJ10" s="65" t="str" cm="1">
        <f t="array" aca="1" ref="AJ10" ca="1">_xlfn.TEXTJOIN("*",,TEXT(INDIRECT(_xlfn.TEXTJOIN(,,"W",TEXT(13+$AI10-$V$4,"0"),"K",TEXT(11+AJ$1-$V$3,"0")),FALSE),"0"),TEXT(INDIRECT(_xlfn.TEXTJOIN(,,"W",TEXT(13+$AI10-$V$7,"0"),"K",TEXT(11+AJ$1-$V$6,"0")),FALSE),"0"))</f>
        <v>0*0</v>
      </c>
      <c r="AK10" s="53" t="str" cm="1">
        <f t="array" aca="1" ref="AK10" ca="1">_xlfn.TEXTJOIN("*",,TEXT(INDIRECT(_xlfn.TEXTJOIN(,,"W",TEXT(13+$AI10-$V$4,"0"),"K",TEXT(11+AK$1-$V$3,"0")),FALSE),"0"),TEXT(INDIRECT(_xlfn.TEXTJOIN(,,"W",TEXT(13+$AI10-$V$7,"0"),"K",TEXT(11+AK$1-$V$6,"0")),FALSE),"0"))</f>
        <v>-1*-1</v>
      </c>
      <c r="AL10" s="53" t="str" cm="1">
        <f t="array" aca="1" ref="AL10" ca="1">_xlfn.TEXTJOIN("*",,TEXT(INDIRECT(_xlfn.TEXTJOIN(,,"W",TEXT(13+$AI10-$V$4,"0"),"K",TEXT(11+AL$1-$V$3,"0")),FALSE),"0"),TEXT(INDIRECT(_xlfn.TEXTJOIN(,,"W",TEXT(13+$AI10-$V$7,"0"),"K",TEXT(11+AL$1-$V$6,"0")),FALSE),"0"))</f>
        <v>2*1</v>
      </c>
      <c r="AM10" s="53" t="str" cm="1">
        <f t="array" aca="1" ref="AM10" ca="1">_xlfn.TEXTJOIN("*",,TEXT(INDIRECT(_xlfn.TEXTJOIN(,,"W",TEXT(13+$AI10-$V$4,"0"),"K",TEXT(11+AM$1-$V$3,"0")),FALSE),"0"),TEXT(INDIRECT(_xlfn.TEXTJOIN(,,"W",TEXT(13+$AI10-$V$7,"0"),"K",TEXT(11+AM$1-$V$6,"0")),FALSE),"0"))</f>
        <v>-1*-1</v>
      </c>
      <c r="AN10" s="53" t="str" cm="1">
        <f t="array" aca="1" ref="AN10" ca="1">_xlfn.TEXTJOIN("*",,TEXT(INDIRECT(_xlfn.TEXTJOIN(,,"W",TEXT(13+$AI10-$V$4,"0"),"K",TEXT(11+AN$1-$V$3,"0")),FALSE),"0"),TEXT(INDIRECT(_xlfn.TEXTJOIN(,,"W",TEXT(13+$AI10-$V$7,"0"),"K",TEXT(11+AN$1-$V$6,"0")),FALSE),"0"))</f>
        <v>2*2</v>
      </c>
      <c r="AO10" s="53" t="str" cm="1">
        <f t="array" aca="1" ref="AO10" ca="1">_xlfn.TEXTJOIN("*",,TEXT(INDIRECT(_xlfn.TEXTJOIN(,,"W",TEXT(13+$AI10-$V$4,"0"),"K",TEXT(11+AO$1-$V$3,"0")),FALSE),"0"),TEXT(INDIRECT(_xlfn.TEXTJOIN(,,"W",TEXT(13+$AI10-$V$7,"0"),"K",TEXT(11+AO$1-$V$6,"0")),FALSE),"0"))</f>
        <v>-1*-1</v>
      </c>
      <c r="AP10" s="53" t="str" cm="1">
        <f t="array" aca="1" ref="AP10" ca="1">_xlfn.TEXTJOIN("*",,TEXT(INDIRECT(_xlfn.TEXTJOIN(,,"W",TEXT(13+$AI10-$V$4,"0"),"K",TEXT(11+AP$1-$V$3,"0")),FALSE),"0"),TEXT(INDIRECT(_xlfn.TEXTJOIN(,,"W",TEXT(13+$AI10-$V$7,"0"),"K",TEXT(11+AP$1-$V$6,"0")),FALSE),"0"))</f>
        <v>2*2</v>
      </c>
      <c r="AQ10" s="53" t="str" cm="1">
        <f t="array" aca="1" ref="AQ10" ca="1">_xlfn.TEXTJOIN("*",,TEXT(INDIRECT(_xlfn.TEXTJOIN(,,"W",TEXT(13+$AI10-$V$4,"0"),"K",TEXT(11+AQ$1-$V$3,"0")),FALSE),"0"),TEXT(INDIRECT(_xlfn.TEXTJOIN(,,"W",TEXT(13+$AI10-$V$7,"0"),"K",TEXT(11+AQ$1-$V$6,"0")),FALSE),"0"))</f>
        <v>-1*-1</v>
      </c>
      <c r="AR10" s="66" t="str" cm="1">
        <f t="array" aca="1" ref="AR10" ca="1">_xlfn.TEXTJOIN("*",,TEXT(INDIRECT(_xlfn.TEXTJOIN(,,"W",TEXT(13+$AI10-$V$4,"0"),"K",TEXT(11+AR$1-$V$3,"0")),FALSE),"0"),TEXT(INDIRECT(_xlfn.TEXTJOIN(,,"W",TEXT(13+$AI10-$V$7,"0"),"K",TEXT(11+AR$1-$V$6,"0")),FALSE),"0"))</f>
        <v>0*1</v>
      </c>
    </row>
    <row r="11" spans="1:44" x14ac:dyDescent="0.25">
      <c r="A11" s="38">
        <v>2</v>
      </c>
      <c r="B11" s="46">
        <v>-1</v>
      </c>
      <c r="C11" s="47">
        <v>0</v>
      </c>
      <c r="D11" s="47">
        <v>-1</v>
      </c>
      <c r="E11" s="47">
        <v>0</v>
      </c>
      <c r="F11" s="47">
        <v>-1</v>
      </c>
      <c r="G11" s="47">
        <v>0</v>
      </c>
      <c r="H11" s="47">
        <v>-1</v>
      </c>
      <c r="I11" s="47">
        <v>2</v>
      </c>
      <c r="J11" s="47">
        <v>-1</v>
      </c>
      <c r="K11" s="47">
        <v>2</v>
      </c>
      <c r="L11" s="47">
        <v>-1</v>
      </c>
      <c r="M11" s="47">
        <v>2</v>
      </c>
      <c r="N11" s="47">
        <v>-1</v>
      </c>
      <c r="O11" s="47">
        <v>0</v>
      </c>
      <c r="P11" s="47">
        <v>-1</v>
      </c>
      <c r="Q11" s="47">
        <v>0</v>
      </c>
      <c r="R11" s="47">
        <v>-1</v>
      </c>
      <c r="S11" s="47">
        <v>0</v>
      </c>
      <c r="T11" s="48">
        <v>-1</v>
      </c>
      <c r="X11" s="31">
        <v>-3</v>
      </c>
      <c r="Y11" s="31">
        <f t="shared" ca="1" si="0"/>
        <v>-1</v>
      </c>
      <c r="Z11" s="15">
        <f t="shared" ca="1" si="0"/>
        <v>1</v>
      </c>
      <c r="AA11" s="15">
        <f t="shared" ca="1" si="0"/>
        <v>-1</v>
      </c>
      <c r="AB11" s="15">
        <f t="shared" ca="1" si="0"/>
        <v>2</v>
      </c>
      <c r="AC11" s="15">
        <f t="shared" ca="1" si="3"/>
        <v>-1</v>
      </c>
      <c r="AD11" s="15">
        <f t="shared" ca="1" si="3"/>
        <v>2</v>
      </c>
      <c r="AE11" s="15">
        <f t="shared" ca="1" si="3"/>
        <v>-1</v>
      </c>
      <c r="AF11" s="15">
        <f t="shared" ca="1" si="3"/>
        <v>1</v>
      </c>
      <c r="AG11" s="32">
        <f t="shared" ca="1" si="3"/>
        <v>-1</v>
      </c>
      <c r="AI11" s="38">
        <v>-3</v>
      </c>
      <c r="AJ11" s="65" t="str" cm="1">
        <f t="array" aca="1" ref="AJ11" ca="1">_xlfn.TEXTJOIN("*",,TEXT(INDIRECT(_xlfn.TEXTJOIN(,,"W",TEXT(13+$AI11-$V$4,"0"),"K",TEXT(11+AJ$1-$V$3,"0")),FALSE),"0"),TEXT(INDIRECT(_xlfn.TEXTJOIN(,,"W",TEXT(13+$AI11-$V$7,"0"),"K",TEXT(11+AJ$1-$V$6,"0")),FALSE),"0"))</f>
        <v>-1*-1</v>
      </c>
      <c r="AK11" s="53" t="str" cm="1">
        <f t="array" aca="1" ref="AK11" ca="1">_xlfn.TEXTJOIN("*",,TEXT(INDIRECT(_xlfn.TEXTJOIN(,,"W",TEXT(13+$AI11-$V$4,"0"),"K",TEXT(11+AK$1-$V$3,"0")),FALSE),"0"),TEXT(INDIRECT(_xlfn.TEXTJOIN(,,"W",TEXT(13+$AI11-$V$7,"0"),"K",TEXT(11+AK$1-$V$6,"0")),FALSE),"0"))</f>
        <v>1*1</v>
      </c>
      <c r="AL11" s="53" t="str" cm="1">
        <f t="array" aca="1" ref="AL11" ca="1">_xlfn.TEXTJOIN("*",,TEXT(INDIRECT(_xlfn.TEXTJOIN(,,"W",TEXT(13+$AI11-$V$4,"0"),"K",TEXT(11+AL$1-$V$3,"0")),FALSE),"0"),TEXT(INDIRECT(_xlfn.TEXTJOIN(,,"W",TEXT(13+$AI11-$V$7,"0"),"K",TEXT(11+AL$1-$V$6,"0")),FALSE),"0"))</f>
        <v>-1*-1</v>
      </c>
      <c r="AM11" s="53" t="str" cm="1">
        <f t="array" aca="1" ref="AM11" ca="1">_xlfn.TEXTJOIN("*",,TEXT(INDIRECT(_xlfn.TEXTJOIN(,,"W",TEXT(13+$AI11-$V$4,"0"),"K",TEXT(11+AM$1-$V$3,"0")),FALSE),"0"),TEXT(INDIRECT(_xlfn.TEXTJOIN(,,"W",TEXT(13+$AI11-$V$7,"0"),"K",TEXT(11+AM$1-$V$6,"0")),FALSE),"0"))</f>
        <v>2*2</v>
      </c>
      <c r="AN11" s="53" t="str" cm="1">
        <f t="array" aca="1" ref="AN11" ca="1">_xlfn.TEXTJOIN("*",,TEXT(INDIRECT(_xlfn.TEXTJOIN(,,"W",TEXT(13+$AI11-$V$4,"0"),"K",TEXT(11+AN$1-$V$3,"0")),FALSE),"0"),TEXT(INDIRECT(_xlfn.TEXTJOIN(,,"W",TEXT(13+$AI11-$V$7,"0"),"K",TEXT(11+AN$1-$V$6,"0")),FALSE),"0"))</f>
        <v>-1*-1</v>
      </c>
      <c r="AO11" s="61" t="str" cm="1">
        <f t="array" aca="1" ref="AO11" ca="1">_xlfn.TEXTJOIN("*",,TEXT(INDIRECT(_xlfn.TEXTJOIN(,,"W",TEXT(13+$AI11-$V$4,"0"),"K",TEXT(11+AO$1-$V$3,"0")),FALSE),"0"),TEXT(INDIRECT(_xlfn.TEXTJOIN(,,"W",TEXT(13+$AI11-$V$7,"0"),"K",TEXT(11+AO$1-$V$6,"0")),FALSE),"0"))</f>
        <v>2*2</v>
      </c>
      <c r="AP11" s="53" t="str" cm="1">
        <f t="array" aca="1" ref="AP11" ca="1">_xlfn.TEXTJOIN("*",,TEXT(INDIRECT(_xlfn.TEXTJOIN(,,"W",TEXT(13+$AI11-$V$4,"0"),"K",TEXT(11+AP$1-$V$3,"0")),FALSE),"0"),TEXT(INDIRECT(_xlfn.TEXTJOIN(,,"W",TEXT(13+$AI11-$V$7,"0"),"K",TEXT(11+AP$1-$V$6,"0")),FALSE),"0"))</f>
        <v>-1*-1</v>
      </c>
      <c r="AQ11" s="53" t="str" cm="1">
        <f t="array" aca="1" ref="AQ11" ca="1">_xlfn.TEXTJOIN("*",,TEXT(INDIRECT(_xlfn.TEXTJOIN(,,"W",TEXT(13+$AI11-$V$4,"0"),"K",TEXT(11+AQ$1-$V$3,"0")),FALSE),"0"),TEXT(INDIRECT(_xlfn.TEXTJOIN(,,"W",TEXT(13+$AI11-$V$7,"0"),"K",TEXT(11+AQ$1-$V$6,"0")),FALSE),"0"))</f>
        <v>1*2</v>
      </c>
      <c r="AR11" s="66" t="str" cm="1">
        <f t="array" aca="1" ref="AR11" ca="1">_xlfn.TEXTJOIN("*",,TEXT(INDIRECT(_xlfn.TEXTJOIN(,,"W",TEXT(13+$AI11-$V$4,"0"),"K",TEXT(11+AR$1-$V$3,"0")),FALSE),"0"),TEXT(INDIRECT(_xlfn.TEXTJOIN(,,"W",TEXT(13+$AI11-$V$7,"0"),"K",TEXT(11+AR$1-$V$6,"0")),FALSE),"0"))</f>
        <v>-1*-1</v>
      </c>
    </row>
    <row r="12" spans="1:44" ht="15.75" thickBot="1" x14ac:dyDescent="0.3">
      <c r="A12" s="38">
        <v>1</v>
      </c>
      <c r="B12" s="46">
        <v>0</v>
      </c>
      <c r="C12" s="47">
        <v>-1</v>
      </c>
      <c r="D12" s="47">
        <v>0</v>
      </c>
      <c r="E12" s="47">
        <v>-1</v>
      </c>
      <c r="F12" s="47">
        <v>0</v>
      </c>
      <c r="G12" s="47">
        <v>-1</v>
      </c>
      <c r="H12" s="47">
        <v>1</v>
      </c>
      <c r="I12" s="47">
        <v>-1</v>
      </c>
      <c r="J12" s="47">
        <v>2</v>
      </c>
      <c r="K12" s="47">
        <v>-1</v>
      </c>
      <c r="L12" s="47">
        <v>2</v>
      </c>
      <c r="M12" s="47">
        <v>-1</v>
      </c>
      <c r="N12" s="47">
        <v>1</v>
      </c>
      <c r="O12" s="47">
        <v>-1</v>
      </c>
      <c r="P12" s="47">
        <v>0</v>
      </c>
      <c r="Q12" s="47">
        <v>-1</v>
      </c>
      <c r="R12" s="47">
        <v>0</v>
      </c>
      <c r="S12" s="47">
        <v>-1</v>
      </c>
      <c r="T12" s="48">
        <v>0</v>
      </c>
      <c r="X12" s="31">
        <v>-4</v>
      </c>
      <c r="Y12" s="31">
        <f t="shared" ca="1" si="0"/>
        <v>0</v>
      </c>
      <c r="Z12" s="15">
        <f t="shared" ca="1" si="0"/>
        <v>-1</v>
      </c>
      <c r="AA12" s="15">
        <f t="shared" ca="1" si="0"/>
        <v>1</v>
      </c>
      <c r="AB12" s="15">
        <f t="shared" ca="1" si="0"/>
        <v>-1</v>
      </c>
      <c r="AC12" s="15">
        <f t="shared" ca="1" si="3"/>
        <v>2</v>
      </c>
      <c r="AD12" s="15">
        <f t="shared" ca="1" si="3"/>
        <v>-1</v>
      </c>
      <c r="AE12" s="15">
        <f t="shared" ca="1" si="3"/>
        <v>1</v>
      </c>
      <c r="AF12" s="15">
        <f t="shared" ca="1" si="3"/>
        <v>-1</v>
      </c>
      <c r="AG12" s="32">
        <f t="shared" ca="1" si="3"/>
        <v>0</v>
      </c>
      <c r="AI12" s="38">
        <v>-4</v>
      </c>
      <c r="AJ12" s="65" t="str" cm="1">
        <f t="array" aca="1" ref="AJ12" ca="1">_xlfn.TEXTJOIN("*",,TEXT(INDIRECT(_xlfn.TEXTJOIN(,,"W",TEXT(13+$AI12-$V$4,"0"),"K",TEXT(11+AJ$1-$V$3,"0")),FALSE),"0"),TEXT(INDIRECT(_xlfn.TEXTJOIN(,,"W",TEXT(13+$AI12-$V$7,"0"),"K",TEXT(11+AJ$1-$V$6,"0")),FALSE),"0"))</f>
        <v>0*0</v>
      </c>
      <c r="AK12" s="53" t="str" cm="1">
        <f t="array" aca="1" ref="AK12" ca="1">_xlfn.TEXTJOIN("*",,TEXT(INDIRECT(_xlfn.TEXTJOIN(,,"W",TEXT(13+$AI12-$V$4,"0"),"K",TEXT(11+AK$1-$V$3,"0")),FALSE),"0"),TEXT(INDIRECT(_xlfn.TEXTJOIN(,,"W",TEXT(13+$AI12-$V$7,"0"),"K",TEXT(11+AK$1-$V$6,"0")),FALSE),"0"))</f>
        <v>-1*-1</v>
      </c>
      <c r="AL12" s="53" t="str" cm="1">
        <f t="array" aca="1" ref="AL12" ca="1">_xlfn.TEXTJOIN("*",,TEXT(INDIRECT(_xlfn.TEXTJOIN(,,"W",TEXT(13+$AI12-$V$4,"0"),"K",TEXT(11+AL$1-$V$3,"0")),FALSE),"0"),TEXT(INDIRECT(_xlfn.TEXTJOIN(,,"W",TEXT(13+$AI12-$V$7,"0"),"K",TEXT(11+AL$1-$V$6,"0")),FALSE),"0"))</f>
        <v>1*1</v>
      </c>
      <c r="AM12" s="53" t="str" cm="1">
        <f t="array" aca="1" ref="AM12" ca="1">_xlfn.TEXTJOIN("*",,TEXT(INDIRECT(_xlfn.TEXTJOIN(,,"W",TEXT(13+$AI12-$V$4,"0"),"K",TEXT(11+AM$1-$V$3,"0")),FALSE),"0"),TEXT(INDIRECT(_xlfn.TEXTJOIN(,,"W",TEXT(13+$AI12-$V$7,"0"),"K",TEXT(11+AM$1-$V$6,"0")),FALSE),"0"))</f>
        <v>-1*-1</v>
      </c>
      <c r="AN12" s="53" t="str" cm="1">
        <f t="array" aca="1" ref="AN12" ca="1">_xlfn.TEXTJOIN("*",,TEXT(INDIRECT(_xlfn.TEXTJOIN(,,"W",TEXT(13+$AI12-$V$4,"0"),"K",TEXT(11+AN$1-$V$3,"0")),FALSE),"0"),TEXT(INDIRECT(_xlfn.TEXTJOIN(,,"W",TEXT(13+$AI12-$V$7,"0"),"K",TEXT(11+AN$1-$V$6,"0")),FALSE),"0"))</f>
        <v>2*2</v>
      </c>
      <c r="AO12" s="53" t="str" cm="1">
        <f t="array" aca="1" ref="AO12" ca="1">_xlfn.TEXTJOIN("*",,TEXT(INDIRECT(_xlfn.TEXTJOIN(,,"W",TEXT(13+$AI12-$V$4,"0"),"K",TEXT(11+AO$1-$V$3,"0")),FALSE),"0"),TEXT(INDIRECT(_xlfn.TEXTJOIN(,,"W",TEXT(13+$AI12-$V$7,"0"),"K",TEXT(11+AO$1-$V$6,"0")),FALSE),"0"))</f>
        <v>-1*-1</v>
      </c>
      <c r="AP12" s="53" t="str" cm="1">
        <f t="array" aca="1" ref="AP12" ca="1">_xlfn.TEXTJOIN("*",,TEXT(INDIRECT(_xlfn.TEXTJOIN(,,"W",TEXT(13+$AI12-$V$4,"0"),"K",TEXT(11+AP$1-$V$3,"0")),FALSE),"0"),TEXT(INDIRECT(_xlfn.TEXTJOIN(,,"W",TEXT(13+$AI12-$V$7,"0"),"K",TEXT(11+AP$1-$V$6,"0")),FALSE),"0"))</f>
        <v>1*2</v>
      </c>
      <c r="AQ12" s="53" t="str" cm="1">
        <f t="array" aca="1" ref="AQ12" ca="1">_xlfn.TEXTJOIN("*",,TEXT(INDIRECT(_xlfn.TEXTJOIN(,,"W",TEXT(13+$AI12-$V$4,"0"),"K",TEXT(11+AQ$1-$V$3,"0")),FALSE),"0"),TEXT(INDIRECT(_xlfn.TEXTJOIN(,,"W",TEXT(13+$AI12-$V$7,"0"),"K",TEXT(11+AQ$1-$V$6,"0")),FALSE),"0"))</f>
        <v>-1*-1</v>
      </c>
      <c r="AR12" s="66" t="str" cm="1">
        <f t="array" aca="1" ref="AR12" ca="1">_xlfn.TEXTJOIN("*",,TEXT(INDIRECT(_xlfn.TEXTJOIN(,,"W",TEXT(13+$AI12-$V$4,"0"),"K",TEXT(11+AR$1-$V$3,"0")),FALSE),"0"),TEXT(INDIRECT(_xlfn.TEXTJOIN(,,"W",TEXT(13+$AI12-$V$7,"0"),"K",TEXT(11+AR$1-$V$6,"0")),FALSE),"0"))</f>
        <v>0*1</v>
      </c>
    </row>
    <row r="13" spans="1:44" ht="15.75" thickBot="1" x14ac:dyDescent="0.3">
      <c r="A13" s="38">
        <v>0</v>
      </c>
      <c r="B13" s="46">
        <v>-1</v>
      </c>
      <c r="C13" s="47">
        <v>0</v>
      </c>
      <c r="D13" s="47">
        <v>-1</v>
      </c>
      <c r="E13" s="47">
        <v>0</v>
      </c>
      <c r="F13" s="47">
        <v>-1</v>
      </c>
      <c r="G13" s="47">
        <v>1</v>
      </c>
      <c r="H13" s="47">
        <v>-1</v>
      </c>
      <c r="I13" s="47">
        <v>2</v>
      </c>
      <c r="J13" s="47">
        <v>-1</v>
      </c>
      <c r="K13" s="52">
        <v>2</v>
      </c>
      <c r="L13" s="47">
        <v>-1</v>
      </c>
      <c r="M13" s="47">
        <v>2</v>
      </c>
      <c r="N13" s="47">
        <v>-1</v>
      </c>
      <c r="O13" s="47">
        <v>1</v>
      </c>
      <c r="P13" s="47">
        <v>-1</v>
      </c>
      <c r="Q13" s="47">
        <v>0</v>
      </c>
      <c r="R13" s="47">
        <v>-1</v>
      </c>
      <c r="S13" s="47">
        <v>0</v>
      </c>
      <c r="T13" s="48">
        <v>-1</v>
      </c>
      <c r="X13" s="31">
        <v>-5</v>
      </c>
      <c r="Y13" s="31">
        <f t="shared" ca="1" si="0"/>
        <v>-1</v>
      </c>
      <c r="Z13" s="15">
        <f t="shared" ca="1" si="0"/>
        <v>0</v>
      </c>
      <c r="AA13" s="15">
        <f t="shared" ca="1" si="0"/>
        <v>-1</v>
      </c>
      <c r="AB13" s="15">
        <f t="shared" ca="1" si="0"/>
        <v>1</v>
      </c>
      <c r="AC13" s="15">
        <f t="shared" ca="1" si="3"/>
        <v>-1</v>
      </c>
      <c r="AD13" s="15">
        <f t="shared" ca="1" si="3"/>
        <v>1</v>
      </c>
      <c r="AE13" s="15">
        <f t="shared" ca="1" si="3"/>
        <v>-1</v>
      </c>
      <c r="AF13" s="15">
        <f t="shared" ca="1" si="3"/>
        <v>0</v>
      </c>
      <c r="AG13" s="32">
        <f t="shared" ca="1" si="3"/>
        <v>-1</v>
      </c>
      <c r="AI13" s="38">
        <v>-5</v>
      </c>
      <c r="AJ13" s="65" t="str" cm="1">
        <f t="array" aca="1" ref="AJ13" ca="1">_xlfn.TEXTJOIN("*",,TEXT(INDIRECT(_xlfn.TEXTJOIN(,,"W",TEXT(13+$AI13-$V$4,"0"),"K",TEXT(11+AJ$1-$V$3,"0")),FALSE),"0"),TEXT(INDIRECT(_xlfn.TEXTJOIN(,,"W",TEXT(13+$AI13-$V$7,"0"),"K",TEXT(11+AJ$1-$V$6,"0")),FALSE),"0"))</f>
        <v>-1*-1</v>
      </c>
      <c r="AK13" s="53" t="str" cm="1">
        <f t="array" aca="1" ref="AK13" ca="1">_xlfn.TEXTJOIN("*",,TEXT(INDIRECT(_xlfn.TEXTJOIN(,,"W",TEXT(13+$AI13-$V$4,"0"),"K",TEXT(11+AK$1-$V$3,"0")),FALSE),"0"),TEXT(INDIRECT(_xlfn.TEXTJOIN(,,"W",TEXT(13+$AI13-$V$7,"0"),"K",TEXT(11+AK$1-$V$6,"0")),FALSE),"0"))</f>
        <v>0*0</v>
      </c>
      <c r="AL13" s="53" t="str" cm="1">
        <f t="array" aca="1" ref="AL13" ca="1">_xlfn.TEXTJOIN("*",,TEXT(INDIRECT(_xlfn.TEXTJOIN(,,"W",TEXT(13+$AI13-$V$4,"0"),"K",TEXT(11+AL$1-$V$3,"0")),FALSE),"0"),TEXT(INDIRECT(_xlfn.TEXTJOIN(,,"W",TEXT(13+$AI13-$V$7,"0"),"K",TEXT(11+AL$1-$V$6,"0")),FALSE),"0"))</f>
        <v>-1*-1</v>
      </c>
      <c r="AM13" s="53" t="str" cm="1">
        <f t="array" aca="1" ref="AM13" ca="1">_xlfn.TEXTJOIN("*",,TEXT(INDIRECT(_xlfn.TEXTJOIN(,,"W",TEXT(13+$AI13-$V$4,"0"),"K",TEXT(11+AM$1-$V$3,"0")),FALSE),"0"),TEXT(INDIRECT(_xlfn.TEXTJOIN(,,"W",TEXT(13+$AI13-$V$7,"0"),"K",TEXT(11+AM$1-$V$6,"0")),FALSE),"0"))</f>
        <v>1*2</v>
      </c>
      <c r="AN13" s="53" t="str" cm="1">
        <f t="array" aca="1" ref="AN13" ca="1">_xlfn.TEXTJOIN("*",,TEXT(INDIRECT(_xlfn.TEXTJOIN(,,"W",TEXT(13+$AI13-$V$4,"0"),"K",TEXT(11+AN$1-$V$3,"0")),FALSE),"0"),TEXT(INDIRECT(_xlfn.TEXTJOIN(,,"W",TEXT(13+$AI13-$V$7,"0"),"K",TEXT(11+AN$1-$V$6,"0")),FALSE),"0"))</f>
        <v>-1*-1</v>
      </c>
      <c r="AO13" s="53" t="str" cm="1">
        <f t="array" aca="1" ref="AO13" ca="1">_xlfn.TEXTJOIN("*",,TEXT(INDIRECT(_xlfn.TEXTJOIN(,,"W",TEXT(13+$AI13-$V$4,"0"),"K",TEXT(11+AO$1-$V$3,"0")),FALSE),"0"),TEXT(INDIRECT(_xlfn.TEXTJOIN(,,"W",TEXT(13+$AI13-$V$7,"0"),"K",TEXT(11+AO$1-$V$6,"0")),FALSE),"0"))</f>
        <v>1*2</v>
      </c>
      <c r="AP13" s="53" t="str" cm="1">
        <f t="array" aca="1" ref="AP13" ca="1">_xlfn.TEXTJOIN("*",,TEXT(INDIRECT(_xlfn.TEXTJOIN(,,"W",TEXT(13+$AI13-$V$4,"0"),"K",TEXT(11+AP$1-$V$3,"0")),FALSE),"0"),TEXT(INDIRECT(_xlfn.TEXTJOIN(,,"W",TEXT(13+$AI13-$V$7,"0"),"K",TEXT(11+AP$1-$V$6,"0")),FALSE),"0"))</f>
        <v>-1*-1</v>
      </c>
      <c r="AQ13" s="53" t="str" cm="1">
        <f t="array" aca="1" ref="AQ13" ca="1">_xlfn.TEXTJOIN("*",,TEXT(INDIRECT(_xlfn.TEXTJOIN(,,"W",TEXT(13+$AI13-$V$4,"0"),"K",TEXT(11+AQ$1-$V$3,"0")),FALSE),"0"),TEXT(INDIRECT(_xlfn.TEXTJOIN(,,"W",TEXT(13+$AI13-$V$7,"0"),"K",TEXT(11+AQ$1-$V$6,"0")),FALSE),"0"))</f>
        <v>0*2</v>
      </c>
      <c r="AR13" s="66" t="str" cm="1">
        <f t="array" aca="1" ref="AR13" ca="1">_xlfn.TEXTJOIN("*",,TEXT(INDIRECT(_xlfn.TEXTJOIN(,,"W",TEXT(13+$AI13-$V$4,"0"),"K",TEXT(11+AR$1-$V$3,"0")),FALSE),"0"),TEXT(INDIRECT(_xlfn.TEXTJOIN(,,"W",TEXT(13+$AI13-$V$7,"0"),"K",TEXT(11+AR$1-$V$6,"0")),FALSE),"0"))</f>
        <v>-1*-1</v>
      </c>
    </row>
    <row r="14" spans="1:44" ht="15.75" thickBot="1" x14ac:dyDescent="0.3">
      <c r="A14" s="38">
        <v>-1</v>
      </c>
      <c r="B14" s="46">
        <v>0</v>
      </c>
      <c r="C14" s="47">
        <v>-1</v>
      </c>
      <c r="D14" s="47">
        <v>0</v>
      </c>
      <c r="E14" s="47">
        <v>-1</v>
      </c>
      <c r="F14" s="47">
        <v>0</v>
      </c>
      <c r="G14" s="47">
        <v>-1</v>
      </c>
      <c r="H14" s="47">
        <v>1</v>
      </c>
      <c r="I14" s="47">
        <v>-1</v>
      </c>
      <c r="J14" s="47">
        <v>2</v>
      </c>
      <c r="K14" s="47">
        <v>-1</v>
      </c>
      <c r="L14" s="47">
        <v>2</v>
      </c>
      <c r="M14" s="47">
        <v>-1</v>
      </c>
      <c r="N14" s="47">
        <v>1</v>
      </c>
      <c r="O14" s="47">
        <v>-1</v>
      </c>
      <c r="P14" s="47">
        <v>0</v>
      </c>
      <c r="Q14" s="47">
        <v>-1</v>
      </c>
      <c r="R14" s="47">
        <v>0</v>
      </c>
      <c r="S14" s="47">
        <v>-1</v>
      </c>
      <c r="T14" s="48">
        <v>0</v>
      </c>
      <c r="X14" s="33">
        <v>-6</v>
      </c>
      <c r="Y14" s="33">
        <f t="shared" ca="1" si="0"/>
        <v>0</v>
      </c>
      <c r="Z14" s="34">
        <f t="shared" ca="1" si="0"/>
        <v>-1</v>
      </c>
      <c r="AA14" s="34">
        <f t="shared" ca="1" si="0"/>
        <v>1</v>
      </c>
      <c r="AB14" s="34">
        <f t="shared" ca="1" si="0"/>
        <v>-1</v>
      </c>
      <c r="AC14" s="34">
        <f t="shared" ca="1" si="3"/>
        <v>1</v>
      </c>
      <c r="AD14" s="34">
        <f t="shared" ca="1" si="3"/>
        <v>-1</v>
      </c>
      <c r="AE14" s="34">
        <f t="shared" ca="1" si="3"/>
        <v>1</v>
      </c>
      <c r="AF14" s="34">
        <f t="shared" ca="1" si="3"/>
        <v>-1</v>
      </c>
      <c r="AG14" s="35">
        <f t="shared" ca="1" si="3"/>
        <v>0</v>
      </c>
      <c r="AI14" s="39">
        <v>-6</v>
      </c>
      <c r="AJ14" s="67" t="str" cm="1">
        <f t="array" aca="1" ref="AJ14" ca="1">_xlfn.TEXTJOIN("*",,TEXT(INDIRECT(_xlfn.TEXTJOIN(,,"W",TEXT(13+$AI14-$V$4,"0"),"K",TEXT(11+AJ$1-$V$3,"0")),FALSE),"0"),TEXT(INDIRECT(_xlfn.TEXTJOIN(,,"W",TEXT(13+$AI14-$V$7,"0"),"K",TEXT(11+AJ$1-$V$6,"0")),FALSE),"0"))</f>
        <v>0*0</v>
      </c>
      <c r="AK14" s="68" t="str" cm="1">
        <f t="array" aca="1" ref="AK14" ca="1">_xlfn.TEXTJOIN("*",,TEXT(INDIRECT(_xlfn.TEXTJOIN(,,"W",TEXT(13+$AI14-$V$4,"0"),"K",TEXT(11+AK$1-$V$3,"0")),FALSE),"0"),TEXT(INDIRECT(_xlfn.TEXTJOIN(,,"W",TEXT(13+$AI14-$V$7,"0"),"K",TEXT(11+AK$1-$V$6,"0")),FALSE),"0"))</f>
        <v>-1*-1</v>
      </c>
      <c r="AL14" s="68" t="str" cm="1">
        <f t="array" aca="1" ref="AL14" ca="1">_xlfn.TEXTJOIN("*",,TEXT(INDIRECT(_xlfn.TEXTJOIN(,,"W",TEXT(13+$AI14-$V$4,"0"),"K",TEXT(11+AL$1-$V$3,"0")),FALSE),"0"),TEXT(INDIRECT(_xlfn.TEXTJOIN(,,"W",TEXT(13+$AI14-$V$7,"0"),"K",TEXT(11+AL$1-$V$6,"0")),FALSE),"0"))</f>
        <v>1*1</v>
      </c>
      <c r="AM14" s="68" t="str" cm="1">
        <f t="array" aca="1" ref="AM14" ca="1">_xlfn.TEXTJOIN("*",,TEXT(INDIRECT(_xlfn.TEXTJOIN(,,"W",TEXT(13+$AI14-$V$4,"0"),"K",TEXT(11+AM$1-$V$3,"0")),FALSE),"0"),TEXT(INDIRECT(_xlfn.TEXTJOIN(,,"W",TEXT(13+$AI14-$V$7,"0"),"K",TEXT(11+AM$1-$V$6,"0")),FALSE),"0"))</f>
        <v>-1*-1</v>
      </c>
      <c r="AN14" s="68" t="str" cm="1">
        <f t="array" aca="1" ref="AN14" ca="1">_xlfn.TEXTJOIN("*",,TEXT(INDIRECT(_xlfn.TEXTJOIN(,,"W",TEXT(13+$AI14-$V$4,"0"),"K",TEXT(11+AN$1-$V$3,"0")),FALSE),"0"),TEXT(INDIRECT(_xlfn.TEXTJOIN(,,"W",TEXT(13+$AI14-$V$7,"0"),"K",TEXT(11+AN$1-$V$6,"0")),FALSE),"0"))</f>
        <v>1*2</v>
      </c>
      <c r="AO14" s="68" t="str" cm="1">
        <f t="array" aca="1" ref="AO14" ca="1">_xlfn.TEXTJOIN("*",,TEXT(INDIRECT(_xlfn.TEXTJOIN(,,"W",TEXT(13+$AI14-$V$4,"0"),"K",TEXT(11+AO$1-$V$3,"0")),FALSE),"0"),TEXT(INDIRECT(_xlfn.TEXTJOIN(,,"W",TEXT(13+$AI14-$V$7,"0"),"K",TEXT(11+AO$1-$V$6,"0")),FALSE),"0"))</f>
        <v>-1*-1</v>
      </c>
      <c r="AP14" s="68" t="str" cm="1">
        <f t="array" aca="1" ref="AP14" ca="1">_xlfn.TEXTJOIN("*",,TEXT(INDIRECT(_xlfn.TEXTJOIN(,,"W",TEXT(13+$AI14-$V$4,"0"),"K",TEXT(11+AP$1-$V$3,"0")),FALSE),"0"),TEXT(INDIRECT(_xlfn.TEXTJOIN(,,"W",TEXT(13+$AI14-$V$7,"0"),"K",TEXT(11+AP$1-$V$6,"0")),FALSE),"0"))</f>
        <v>1*2</v>
      </c>
      <c r="AQ14" s="68" t="str" cm="1">
        <f t="array" aca="1" ref="AQ14" ca="1">_xlfn.TEXTJOIN("*",,TEXT(INDIRECT(_xlfn.TEXTJOIN(,,"W",TEXT(13+$AI14-$V$4,"0"),"K",TEXT(11+AQ$1-$V$3,"0")),FALSE),"0"),TEXT(INDIRECT(_xlfn.TEXTJOIN(,,"W",TEXT(13+$AI14-$V$7,"0"),"K",TEXT(11+AQ$1-$V$6,"0")),FALSE),"0"))</f>
        <v>-1*-1</v>
      </c>
      <c r="AR14" s="69" t="str" cm="1">
        <f t="array" aca="1" ref="AR14" ca="1">_xlfn.TEXTJOIN("*",,TEXT(INDIRECT(_xlfn.TEXTJOIN(,,"W",TEXT(13+$AI14-$V$4,"0"),"K",TEXT(11+AR$1-$V$3,"0")),FALSE),"0"),TEXT(INDIRECT(_xlfn.TEXTJOIN(,,"W",TEXT(13+$AI14-$V$7,"0"),"K",TEXT(11+AR$1-$V$6,"0")),FALSE),"0"))</f>
        <v>0*1</v>
      </c>
    </row>
    <row r="15" spans="1:44" x14ac:dyDescent="0.25">
      <c r="A15" s="38">
        <v>-2</v>
      </c>
      <c r="B15" s="46">
        <v>-1</v>
      </c>
      <c r="C15" s="47">
        <v>0</v>
      </c>
      <c r="D15" s="47">
        <v>-1</v>
      </c>
      <c r="E15" s="47">
        <v>0</v>
      </c>
      <c r="F15" s="47">
        <v>-1</v>
      </c>
      <c r="G15" s="47">
        <v>0</v>
      </c>
      <c r="H15" s="47">
        <v>-1</v>
      </c>
      <c r="I15" s="47">
        <v>2</v>
      </c>
      <c r="J15" s="47">
        <v>-1</v>
      </c>
      <c r="K15" s="47">
        <v>2</v>
      </c>
      <c r="L15" s="47">
        <v>-1</v>
      </c>
      <c r="M15" s="47">
        <v>2</v>
      </c>
      <c r="N15" s="47">
        <v>-1</v>
      </c>
      <c r="O15" s="47">
        <v>0</v>
      </c>
      <c r="P15" s="47">
        <v>-1</v>
      </c>
      <c r="Q15" s="47">
        <v>0</v>
      </c>
      <c r="R15" s="47">
        <v>-1</v>
      </c>
      <c r="S15" s="47">
        <v>0</v>
      </c>
      <c r="T15" s="48">
        <v>-1</v>
      </c>
    </row>
    <row r="16" spans="1:44" x14ac:dyDescent="0.25">
      <c r="A16" s="38">
        <v>-3</v>
      </c>
      <c r="B16" s="46">
        <v>0</v>
      </c>
      <c r="C16" s="47">
        <v>-1</v>
      </c>
      <c r="D16" s="47">
        <v>0</v>
      </c>
      <c r="E16" s="47">
        <v>-1</v>
      </c>
      <c r="F16" s="47">
        <v>0</v>
      </c>
      <c r="G16" s="47">
        <v>-1</v>
      </c>
      <c r="H16" s="47">
        <v>1</v>
      </c>
      <c r="I16" s="47">
        <v>-1</v>
      </c>
      <c r="J16" s="47">
        <v>2</v>
      </c>
      <c r="K16" s="47">
        <v>-1</v>
      </c>
      <c r="L16" s="47">
        <v>2</v>
      </c>
      <c r="M16" s="47">
        <v>-1</v>
      </c>
      <c r="N16" s="47">
        <v>1</v>
      </c>
      <c r="O16" s="47">
        <v>-1</v>
      </c>
      <c r="P16" s="47">
        <v>0</v>
      </c>
      <c r="Q16" s="47">
        <v>-1</v>
      </c>
      <c r="R16" s="47">
        <v>0</v>
      </c>
      <c r="S16" s="47">
        <v>-1</v>
      </c>
      <c r="T16" s="48">
        <v>0</v>
      </c>
    </row>
    <row r="17" spans="1:20" x14ac:dyDescent="0.25">
      <c r="A17" s="38">
        <v>-4</v>
      </c>
      <c r="B17" s="46">
        <v>-1</v>
      </c>
      <c r="C17" s="47">
        <v>0</v>
      </c>
      <c r="D17" s="47">
        <v>-1</v>
      </c>
      <c r="E17" s="47">
        <v>0</v>
      </c>
      <c r="F17" s="47">
        <v>-1</v>
      </c>
      <c r="G17" s="47">
        <v>0</v>
      </c>
      <c r="H17" s="47">
        <v>-1</v>
      </c>
      <c r="I17" s="47">
        <v>1</v>
      </c>
      <c r="J17" s="47">
        <v>-1</v>
      </c>
      <c r="K17" s="47">
        <v>2</v>
      </c>
      <c r="L17" s="47">
        <v>-1</v>
      </c>
      <c r="M17" s="47">
        <v>1</v>
      </c>
      <c r="N17" s="47">
        <v>-1</v>
      </c>
      <c r="O17" s="47">
        <v>0</v>
      </c>
      <c r="P17" s="47">
        <v>-1</v>
      </c>
      <c r="Q17" s="47">
        <v>0</v>
      </c>
      <c r="R17" s="47">
        <v>-1</v>
      </c>
      <c r="S17" s="47">
        <v>0</v>
      </c>
      <c r="T17" s="48">
        <v>-1</v>
      </c>
    </row>
    <row r="18" spans="1:20" x14ac:dyDescent="0.25">
      <c r="A18" s="38">
        <v>-5</v>
      </c>
      <c r="B18" s="46">
        <v>0</v>
      </c>
      <c r="C18" s="47">
        <v>-1</v>
      </c>
      <c r="D18" s="47">
        <v>0</v>
      </c>
      <c r="E18" s="47">
        <v>-1</v>
      </c>
      <c r="F18" s="47">
        <v>0</v>
      </c>
      <c r="G18" s="47">
        <v>-1</v>
      </c>
      <c r="H18" s="47">
        <v>0</v>
      </c>
      <c r="I18" s="47">
        <v>-1</v>
      </c>
      <c r="J18" s="47">
        <v>1</v>
      </c>
      <c r="K18" s="47">
        <v>-1</v>
      </c>
      <c r="L18" s="47">
        <v>1</v>
      </c>
      <c r="M18" s="47">
        <v>-1</v>
      </c>
      <c r="N18" s="47">
        <v>0</v>
      </c>
      <c r="O18" s="47">
        <v>-1</v>
      </c>
      <c r="P18" s="47">
        <v>0</v>
      </c>
      <c r="Q18" s="47">
        <v>-1</v>
      </c>
      <c r="R18" s="47">
        <v>0</v>
      </c>
      <c r="S18" s="47">
        <v>-1</v>
      </c>
      <c r="T18" s="48">
        <v>0</v>
      </c>
    </row>
    <row r="19" spans="1:20" x14ac:dyDescent="0.25">
      <c r="A19" s="38">
        <v>-6</v>
      </c>
      <c r="B19" s="46">
        <v>-1</v>
      </c>
      <c r="C19" s="47">
        <v>0</v>
      </c>
      <c r="D19" s="47">
        <v>-1</v>
      </c>
      <c r="E19" s="47">
        <v>0</v>
      </c>
      <c r="F19" s="47">
        <v>-1</v>
      </c>
      <c r="G19" s="47">
        <v>0</v>
      </c>
      <c r="H19" s="47">
        <v>-1</v>
      </c>
      <c r="I19" s="47">
        <v>1</v>
      </c>
      <c r="J19" s="47">
        <v>-1</v>
      </c>
      <c r="K19" s="47">
        <v>1</v>
      </c>
      <c r="L19" s="47">
        <v>-1</v>
      </c>
      <c r="M19" s="47">
        <v>1</v>
      </c>
      <c r="N19" s="47">
        <v>-1</v>
      </c>
      <c r="O19" s="47">
        <v>0</v>
      </c>
      <c r="P19" s="47">
        <v>-1</v>
      </c>
      <c r="Q19" s="47">
        <v>0</v>
      </c>
      <c r="R19" s="47">
        <v>-1</v>
      </c>
      <c r="S19" s="47">
        <v>0</v>
      </c>
      <c r="T19" s="48">
        <v>-1</v>
      </c>
    </row>
    <row r="20" spans="1:20" x14ac:dyDescent="0.25">
      <c r="A20" s="38">
        <v>-7</v>
      </c>
      <c r="B20" s="46">
        <v>0</v>
      </c>
      <c r="C20" s="47">
        <v>-1</v>
      </c>
      <c r="D20" s="47">
        <v>0</v>
      </c>
      <c r="E20" s="47">
        <v>-1</v>
      </c>
      <c r="F20" s="47">
        <v>0</v>
      </c>
      <c r="G20" s="47">
        <v>-1</v>
      </c>
      <c r="H20" s="47">
        <v>0</v>
      </c>
      <c r="I20" s="47">
        <v>-1</v>
      </c>
      <c r="J20" s="47">
        <v>0</v>
      </c>
      <c r="K20" s="47">
        <v>-1</v>
      </c>
      <c r="L20" s="47">
        <v>0</v>
      </c>
      <c r="M20" s="47">
        <v>-1</v>
      </c>
      <c r="N20" s="47">
        <v>0</v>
      </c>
      <c r="O20" s="47">
        <v>-1</v>
      </c>
      <c r="P20" s="47">
        <v>0</v>
      </c>
      <c r="Q20" s="47">
        <v>-1</v>
      </c>
      <c r="R20" s="47">
        <v>0</v>
      </c>
      <c r="S20" s="47">
        <v>-1</v>
      </c>
      <c r="T20" s="48">
        <v>0</v>
      </c>
    </row>
    <row r="21" spans="1:20" x14ac:dyDescent="0.25">
      <c r="A21" s="38">
        <v>-8</v>
      </c>
      <c r="B21" s="46">
        <v>-1</v>
      </c>
      <c r="C21" s="47">
        <v>0</v>
      </c>
      <c r="D21" s="47">
        <v>-1</v>
      </c>
      <c r="E21" s="47">
        <v>0</v>
      </c>
      <c r="F21" s="47">
        <v>-1</v>
      </c>
      <c r="G21" s="47">
        <v>0</v>
      </c>
      <c r="H21" s="47">
        <v>-1</v>
      </c>
      <c r="I21" s="47">
        <v>0</v>
      </c>
      <c r="J21" s="47">
        <v>-1</v>
      </c>
      <c r="K21" s="47">
        <v>0</v>
      </c>
      <c r="L21" s="47">
        <v>-1</v>
      </c>
      <c r="M21" s="47">
        <v>0</v>
      </c>
      <c r="N21" s="47">
        <v>-1</v>
      </c>
      <c r="O21" s="47">
        <v>0</v>
      </c>
      <c r="P21" s="47">
        <v>-1</v>
      </c>
      <c r="Q21" s="47">
        <v>0</v>
      </c>
      <c r="R21" s="47">
        <v>-1</v>
      </c>
      <c r="S21" s="47">
        <v>0</v>
      </c>
      <c r="T21" s="48">
        <v>-1</v>
      </c>
    </row>
    <row r="22" spans="1:20" x14ac:dyDescent="0.25">
      <c r="A22" s="38">
        <v>-9</v>
      </c>
      <c r="B22" s="46">
        <v>0</v>
      </c>
      <c r="C22" s="47">
        <v>-1</v>
      </c>
      <c r="D22" s="47">
        <v>0</v>
      </c>
      <c r="E22" s="47">
        <v>-1</v>
      </c>
      <c r="F22" s="47">
        <v>0</v>
      </c>
      <c r="G22" s="47">
        <v>-1</v>
      </c>
      <c r="H22" s="47">
        <v>0</v>
      </c>
      <c r="I22" s="47">
        <v>-1</v>
      </c>
      <c r="J22" s="47">
        <v>0</v>
      </c>
      <c r="K22" s="47">
        <v>-1</v>
      </c>
      <c r="L22" s="47">
        <v>0</v>
      </c>
      <c r="M22" s="47">
        <v>-1</v>
      </c>
      <c r="N22" s="47">
        <v>0</v>
      </c>
      <c r="O22" s="47">
        <v>-1</v>
      </c>
      <c r="P22" s="47">
        <v>0</v>
      </c>
      <c r="Q22" s="47">
        <v>-1</v>
      </c>
      <c r="R22" s="47">
        <v>0</v>
      </c>
      <c r="S22" s="47">
        <v>-1</v>
      </c>
      <c r="T22" s="48">
        <v>0</v>
      </c>
    </row>
    <row r="23" spans="1:20" x14ac:dyDescent="0.25">
      <c r="A23" s="38">
        <v>-10</v>
      </c>
      <c r="B23" s="46">
        <v>-1</v>
      </c>
      <c r="C23" s="47">
        <v>0</v>
      </c>
      <c r="D23" s="47">
        <v>-1</v>
      </c>
      <c r="E23" s="47">
        <v>0</v>
      </c>
      <c r="F23" s="47">
        <v>-1</v>
      </c>
      <c r="G23" s="47">
        <v>0</v>
      </c>
      <c r="H23" s="47">
        <v>-1</v>
      </c>
      <c r="I23" s="47">
        <v>0</v>
      </c>
      <c r="J23" s="47">
        <v>-1</v>
      </c>
      <c r="K23" s="47">
        <v>0</v>
      </c>
      <c r="L23" s="47">
        <v>-1</v>
      </c>
      <c r="M23" s="47">
        <v>0</v>
      </c>
      <c r="N23" s="47">
        <v>-1</v>
      </c>
      <c r="O23" s="47">
        <v>0</v>
      </c>
      <c r="P23" s="47">
        <v>-1</v>
      </c>
      <c r="Q23" s="47">
        <v>0</v>
      </c>
      <c r="R23" s="47">
        <v>-1</v>
      </c>
      <c r="S23" s="47">
        <v>0</v>
      </c>
      <c r="T23" s="48">
        <v>-1</v>
      </c>
    </row>
    <row r="24" spans="1:20" ht="15.75" thickBot="1" x14ac:dyDescent="0.3">
      <c r="A24" s="39">
        <v>-11</v>
      </c>
      <c r="B24" s="49">
        <v>0</v>
      </c>
      <c r="C24" s="50">
        <v>-1</v>
      </c>
      <c r="D24" s="50">
        <v>0</v>
      </c>
      <c r="E24" s="50">
        <v>-1</v>
      </c>
      <c r="F24" s="50">
        <v>0</v>
      </c>
      <c r="G24" s="50">
        <v>-1</v>
      </c>
      <c r="H24" s="50">
        <v>0</v>
      </c>
      <c r="I24" s="50">
        <v>-1</v>
      </c>
      <c r="J24" s="50">
        <v>0</v>
      </c>
      <c r="K24" s="50">
        <v>-1</v>
      </c>
      <c r="L24" s="50">
        <v>0</v>
      </c>
      <c r="M24" s="50">
        <v>-1</v>
      </c>
      <c r="N24" s="50">
        <v>0</v>
      </c>
      <c r="O24" s="50">
        <v>-1</v>
      </c>
      <c r="P24" s="50">
        <v>0</v>
      </c>
      <c r="Q24" s="50">
        <v>-1</v>
      </c>
      <c r="R24" s="50">
        <v>0</v>
      </c>
      <c r="S24" s="50">
        <v>-1</v>
      </c>
      <c r="T24" s="51">
        <v>0</v>
      </c>
    </row>
  </sheetData>
  <conditionalFormatting sqref="B2:T24">
    <cfRule type="cellIs" dxfId="3" priority="4" operator="equal">
      <formula>-1</formula>
    </cfRule>
  </conditionalFormatting>
  <conditionalFormatting sqref="Y2:AG14">
    <cfRule type="cellIs" dxfId="2" priority="3" operator="equal">
      <formula>-1</formula>
    </cfRule>
  </conditionalFormatting>
  <conditionalFormatting sqref="AJ2:AR14">
    <cfRule type="cellIs" dxfId="1" priority="1" operator="equal">
      <formula>"-1*-1"</formula>
    </cfRule>
    <cfRule type="cellIs" dxfId="0" priority="2" operator="equal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Disk</vt:lpstr>
      <vt:lpstr>Sq-Hex</vt:lpstr>
      <vt:lpstr>Connect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Wawrzyniak</dc:creator>
  <cp:lastModifiedBy>Piotr Wawrzyniak</cp:lastModifiedBy>
  <dcterms:created xsi:type="dcterms:W3CDTF">2026-01-05T07:47:42Z</dcterms:created>
  <dcterms:modified xsi:type="dcterms:W3CDTF">2026-01-06T15:21:51Z</dcterms:modified>
</cp:coreProperties>
</file>